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lectrical Schedule" sheetId="2" state="visible" r:id="rId2"/>
    <sheet xmlns:r="http://schemas.openxmlformats.org/officeDocument/2006/relationships" name="Quote Extract" sheetId="3" state="visible" r:id="rId3"/>
    <sheet xmlns:r="http://schemas.openxmlformats.org/officeDocument/2006/relationships" name="Review Items" sheetId="4" state="visible" r:id="rId4"/>
  </sheets>
  <definedNames>
    <definedName name="_xlnm.Print_Titles" localSheetId="1">'Electrical Schedule'!$1:$6</definedName>
    <definedName name="_xlnm.Print_Area" localSheetId="1">'Electrical Schedule'!$A$1:$Q$61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font>
    <font/>
    <font>
      <b val="1"/>
      <sz val="15"/>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left style="thin">
        <color rgb="00808080"/>
      </left>
      <right style="thin">
        <color rgb="00808080"/>
      </right>
      <top style="thin">
        <color rgb="00808080"/>
      </top>
      <bottom style="thin">
        <color rgb="00808080"/>
      </bottom>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4" fillId="0" borderId="2" applyAlignment="1" pivotButton="0" quotePrefix="0" xfId="0">
      <alignment vertical="top" wrapText="1"/>
    </xf>
    <xf numFmtId="0" fontId="0" fillId="0" borderId="2" applyAlignment="1" pivotButton="0" quotePrefix="0" xfId="0">
      <alignment vertical="top" wrapText="1"/>
    </xf>
    <xf numFmtId="0" fontId="2" fillId="3" borderId="2" applyAlignment="1" pivotButton="0" quotePrefix="0" xfId="0">
      <alignment vertical="top" wrapText="1"/>
    </xf>
    <xf numFmtId="0" fontId="1" fillId="2" borderId="0" applyAlignment="1" pivotButton="0" quotePrefix="0" xfId="0">
      <alignment horizontal="center"/>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comments/comment1.xml><?xml version="1.0" encoding="utf-8"?>
<comments xmlns="http://schemas.openxmlformats.org/spreadsheetml/2006/main">
  <authors>
    <author>AVW Schedule Generator</author>
  </authors>
  <commentList>
    <comment ref="D7" authorId="0" shapeId="0">
      <text>
        <t>Requirements source: Master row 866 · RC4
Status: Inherited from Master</t>
      </text>
    </comment>
    <comment ref="D8" authorId="0" shapeId="0">
      <text>
        <t>Requirements source: Master row 7 · PHE2-0315
Status: Inherited from Master</t>
      </text>
    </comment>
    <comment ref="D9" authorId="0" shapeId="0">
      <text>
        <t>Requirements source: Master row 792 · PGS1
Status: Inherited from Master</t>
      </text>
    </comment>
    <comment ref="D10" authorId="0" shapeId="0">
      <text>
        <t>Requirements source: Master row 793 · PSD10
Status: Inherited from Master</t>
      </text>
    </comment>
    <comment ref="D11" authorId="0" shapeId="0">
      <text>
        <t>Requirements source: Master row 794 · M
Status: Inherited from Master</t>
      </text>
    </comment>
    <comment ref="D12" authorId="0" shapeId="0">
      <text>
        <t>Requirements source: Master row 795 · LLS
Status: Inherited from Master</t>
      </text>
    </comment>
    <comment ref="D13" authorId="0" shapeId="0">
      <text>
        <t>Requirements source: Master row 1075 · UW2
Status: Inherited from Master</t>
      </text>
    </comment>
    <comment ref="D14" authorId="0" shapeId="0">
      <text>
        <t>Requirements source: Master row 9 · J3179
Status: Inherited from Master</t>
      </text>
    </comment>
    <comment ref="D15" authorId="0" shapeId="0">
      <text>
        <t>Requirements source: Master row 488 · CTA1
Status: Inherited from Master</t>
      </text>
    </comment>
    <comment ref="D16" authorId="0" shapeId="0">
      <text>
        <t>Requirements source: Master row 489 · APS1
Status: Inherited from Master</t>
      </text>
    </comment>
    <comment ref="D17" authorId="0" shapeId="0">
      <text>
        <t>Requirements source: Master row 490 · SOL
Status: Inherited from Master</t>
      </text>
    </comment>
    <comment ref="D18" authorId="0" shapeId="0">
      <text>
        <t>Requirements source: Master row 1321 · RB1-EL-0122
Status: Inherited from Master</t>
      </text>
    </comment>
    <comment ref="D19" authorId="0" shapeId="0">
      <text>
        <t>Requirements source: Master row 1322 · M
Status: Inherited from Master</t>
      </text>
    </comment>
    <comment ref="D20" authorId="0" shapeId="0">
      <text>
        <t>Requirements source: Master row 1323 · M
Status: Inherited from Master</t>
      </text>
    </comment>
    <comment ref="D21" authorId="0" shapeId="0">
      <text>
        <t>Requirements source: Master row 1324 · RB1G
Status: Inherited from Master</t>
      </text>
    </comment>
    <comment ref="D22" authorId="0" shapeId="0">
      <text>
        <t>Requirements source: Master row 1325 · WA1P
Status: Inherited from Master</t>
      </text>
    </comment>
    <comment ref="D23" authorId="0" shapeId="0">
      <text>
        <t>Requirements source: Master row 1258 · WS1
Status: Inherited from Master</t>
      </text>
    </comment>
    <comment ref="D24" authorId="0" shapeId="0">
      <text>
        <t>Requirements source: Master row 1259 · WA1P
Status: Inherited from Master</t>
      </text>
    </comment>
    <comment ref="D25" authorId="0" shapeId="0">
      <text>
        <t>Requirements source: Master row 1260 · SOL
Status: Inherited from Master</t>
      </text>
    </comment>
    <comment ref="D26" authorId="0" shapeId="0">
      <text>
        <t>Requirements source: Master row 1261 · PSH25
Status: Inherited from Master</t>
      </text>
    </comment>
    <comment ref="D27" authorId="0" shapeId="0">
      <text>
        <t>Requirements source: Master row 1262 · M
Status: Inherited from Master</t>
      </text>
    </comment>
    <comment ref="D28" authorId="0" shapeId="0">
      <text>
        <t>Requirements source: Master row 1263 · LLS
Status: Inherited from Master</t>
      </text>
    </comment>
    <comment ref="D29" authorId="0" shapeId="0">
      <text>
        <t>Requirements source: Master row 817 · PS2H25
Status: Inherited from Master</t>
      </text>
    </comment>
    <comment ref="D30" authorId="0" shapeId="0">
      <text>
        <t>Requirements source: Master row 818 · M
Status: Inherited from Master</t>
      </text>
    </comment>
    <comment ref="D31" authorId="0" shapeId="0">
      <text>
        <t>Requirements source: Master row 819 · M
Status: Inherited from Master</t>
      </text>
    </comment>
    <comment ref="D32" authorId="0" shapeId="0">
      <text>
        <t>Requirements source: Master row 820 · LLS
Status: Inherited from Master</t>
      </text>
    </comment>
    <comment ref="D33" authorId="0" shapeId="0">
      <text>
        <t>Requirements source: Master row 846 · PSH25
Status: Inherited from Master</t>
      </text>
    </comment>
    <comment ref="D34" authorId="0" shapeId="0">
      <text>
        <t>Requirements source: Master row 847 · M
Status: Inherited from Master</t>
      </text>
    </comment>
    <comment ref="D35" authorId="0" shapeId="0">
      <text>
        <t>Requirements source: Master row 848 · LLS
Status: Inherited from Master</t>
      </text>
    </comment>
    <comment ref="D36" authorId="0" shapeId="0">
      <text>
        <t>Requirements source: Master row 395 · BWA1
Status: Inherited from Master</t>
      </text>
    </comment>
    <comment ref="D37" authorId="0" shapeId="0">
      <text>
        <t>Requirements source: Master row 1535 · VA5129A-1
Status: Inherited from Master</t>
      </text>
    </comment>
    <comment ref="D38" authorId="0" shapeId="0">
      <text>
        <t>Requirements source: Master row 1536 · VA3875C
Status: Inherited from Master</t>
      </text>
    </comment>
    <comment ref="D39" authorId="0" shapeId="0">
      <text>
        <t>Requirements source: Master row 1537 · M-.858
Status: Inherited from Master</t>
      </text>
    </comment>
    <comment ref="D40" authorId="0" shapeId="0">
      <text>
        <t>Requirements source: Master row 1535 · VA5129A-1
Status: Inherited from Master</t>
      </text>
    </comment>
    <comment ref="D41" authorId="0" shapeId="0">
      <text>
        <t>Requirements source: Master row 1536 · VA3875C
Status: Inherited from Master</t>
      </text>
    </comment>
    <comment ref="D42" authorId="0" shapeId="0">
      <text>
        <t>Requirements source: Master row 1537 · M-.858
Status: Inherited from Master</t>
      </text>
    </comment>
    <comment ref="D43" authorId="0" shapeId="0">
      <text>
        <t>Requirements source: Master row 1535 · VA5129A-1
Status: Inherited from Master</t>
      </text>
    </comment>
    <comment ref="D44" authorId="0" shapeId="0">
      <text>
        <t>Requirements source: Master row 1536 · VA3875C
Status: Inherited from Master</t>
      </text>
    </comment>
    <comment ref="D45" authorId="0" shapeId="0">
      <text>
        <t>Requirements source: Master row 1537 · M-.858
Status: Inherited from Master</t>
      </text>
    </comment>
    <comment ref="D46" authorId="0" shapeId="0">
      <text>
        <t>Requirements source: Master row 1535 · VA5129A-1
Status: Inherited from Master</t>
      </text>
    </comment>
    <comment ref="D47" authorId="0" shapeId="0">
      <text>
        <t>Requirements source: Master row 1536 · VA3875C
Status: Inherited from Master</t>
      </text>
    </comment>
    <comment ref="D48" authorId="0" shapeId="0">
      <text>
        <t>Requirements source: Master row 1537 · M-.858
Status: Inherited from Master</t>
      </text>
    </comment>
    <comment ref="D49" authorId="0" shapeId="0">
      <text>
        <t>Requirements source: Master row 506 · VA3246S
Status: Inherited from Master</t>
      </text>
    </comment>
    <comment ref="D50" authorId="0" shapeId="0">
      <text>
        <t>Requirements source: Master row 506 · VA3246S
Status: Inherited from Master</t>
      </text>
    </comment>
    <comment ref="D51" authorId="0" shapeId="0">
      <text>
        <t>Requirements source: Master row 506 · VA3246S
Status: Inherited from Master</t>
      </text>
    </comment>
    <comment ref="D52" authorId="0" shapeId="0">
      <text>
        <t>Requirements source: Master row 506 · VA3246S
Status: Inherited from Master</t>
      </text>
    </comment>
    <comment ref="D53" authorId="0" shapeId="0">
      <text>
        <t>Requirements source: Master row 506 · VA3246S
Status: Inherited from Master</t>
      </text>
    </comment>
    <comment ref="D54" authorId="0" shapeId="0">
      <text>
        <t>Requirements source: Master row 506 · VA3246S
Status: Inherited from Master</t>
      </text>
    </comment>
    <comment ref="D55" authorId="0" shapeId="0">
      <text>
        <t>Requirements source: Master row 506 · VA3246S
Status: Inherited from Master</t>
      </text>
    </comment>
    <comment ref="D56" authorId="0" shapeId="0">
      <text>
        <t>Requirements source: Master row 506 · VA3246S
Status: Inherited from Master</t>
      </text>
    </comment>
    <comment ref="D57" authorId="0" shapeId="0">
      <text>
        <t>Requirements source: Master row 506 · VA3246S
Status: Inherited from Master</t>
      </text>
    </comment>
    <comment ref="D58" authorId="0" shapeId="0">
      <text>
        <t>Requirements source: Master row 506 · VA3246S
Status: Inherited from Master</t>
      </text>
    </comment>
    <comment ref="D59" authorId="0" shapeId="0">
      <text>
        <t>Requirements source: Master row 506 · VA3246S
Status: Inherited from Master</t>
      </text>
    </comment>
    <comment ref="D60" authorId="0" shapeId="0">
      <text>
        <t>Requirements source: Master row 506 · VA3246S
Status: Inherited from Master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33" customWidth="1" min="1" max="1"/>
    <col width="45"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B KOZ INC - ELECTRICAL SCHEDULE</t>
        </is>
      </c>
      <c r="B1" s="2" t="n"/>
      <c r="C1" s="2" t="n"/>
      <c r="D1" s="2" t="n"/>
      <c r="E1" s="2" t="n"/>
      <c r="F1" s="2" t="n"/>
      <c r="G1" s="2" t="n"/>
      <c r="H1" s="2" t="n"/>
    </row>
    <row r="2">
      <c r="A2" s="2" t="n"/>
      <c r="B2" s="2" t="n"/>
      <c r="C2" s="2" t="n"/>
      <c r="D2" s="2" t="n"/>
      <c r="E2" s="2" t="n"/>
      <c r="F2" s="2" t="n"/>
      <c r="G2" s="2" t="n"/>
      <c r="H2" s="2" t="n"/>
    </row>
    <row r="3">
      <c r="A3" s="2" t="n"/>
      <c r="B3" s="2" t="n"/>
      <c r="C3" s="2" t="n"/>
      <c r="D3" s="2" t="n"/>
      <c r="E3" s="2" t="n"/>
      <c r="F3" s="2" t="n"/>
      <c r="G3" s="2" t="n"/>
      <c r="H3" s="2" t="n"/>
    </row>
    <row r="4">
      <c r="A4" s="3" t="inlineStr">
        <is>
          <t>Metric</t>
        </is>
      </c>
      <c r="B4" s="3" t="inlineStr">
        <is>
          <t>Value</t>
        </is>
      </c>
      <c r="C4" s="3" t="n"/>
      <c r="D4" s="3" t="n"/>
      <c r="E4" s="3" t="n"/>
      <c r="F4" s="3" t="n"/>
      <c r="G4" s="3" t="n"/>
      <c r="H4" s="3" t="n"/>
    </row>
    <row r="5">
      <c r="A5" s="2" t="inlineStr">
        <is>
          <t>Customer</t>
        </is>
      </c>
      <c r="B5" s="2" t="inlineStr">
        <is>
          <t>B Koz Inc</t>
        </is>
      </c>
      <c r="C5" s="2" t="n"/>
      <c r="D5" s="2" t="n"/>
      <c r="E5" s="2" t="n"/>
      <c r="F5" s="2" t="n"/>
      <c r="G5" s="2" t="n"/>
      <c r="H5" s="2" t="n"/>
    </row>
    <row r="6">
      <c r="A6" s="2" t="inlineStr">
        <is>
          <t>Invoice Number</t>
        </is>
      </c>
      <c r="B6" s="2" t="inlineStr">
        <is>
          <t>46776</t>
        </is>
      </c>
      <c r="C6" s="2" t="n"/>
      <c r="D6" s="2" t="n"/>
      <c r="E6" s="2" t="n"/>
      <c r="F6" s="2" t="n"/>
      <c r="G6" s="2" t="n"/>
      <c r="H6" s="2" t="n"/>
    </row>
    <row r="7">
      <c r="A7" s="2" t="inlineStr">
        <is>
          <t>Invoice Date</t>
        </is>
      </c>
      <c r="B7" s="2" t="inlineStr">
        <is>
          <t>3/24/2026</t>
        </is>
      </c>
      <c r="C7" s="2" t="n"/>
      <c r="D7" s="2" t="n"/>
      <c r="E7" s="2" t="n"/>
      <c r="F7" s="2" t="n"/>
      <c r="G7" s="2" t="n"/>
      <c r="H7" s="2" t="n"/>
    </row>
    <row r="8">
      <c r="A8" s="2" t="inlineStr">
        <is>
          <t>Country</t>
        </is>
      </c>
      <c r="B8" s="2" t="inlineStr">
        <is>
          <t>USA</t>
        </is>
      </c>
      <c r="C8" s="2" t="n"/>
      <c r="D8" s="2" t="n"/>
      <c r="E8" s="2" t="n"/>
      <c r="F8" s="2" t="n"/>
      <c r="G8" s="2" t="n"/>
      <c r="H8" s="2" t="n"/>
    </row>
    <row r="9">
      <c r="A9" s="2" t="inlineStr">
        <is>
          <t>Generated Schedule Rows</t>
        </is>
      </c>
      <c r="B9" s="2" t="n">
        <v>54</v>
      </c>
      <c r="C9" s="2" t="n"/>
      <c r="D9" s="2" t="n"/>
      <c r="E9" s="2" t="n"/>
      <c r="F9" s="2" t="n"/>
      <c r="G9" s="2" t="n"/>
      <c r="H9" s="2" t="n"/>
    </row>
    <row r="10">
      <c r="A10" s="2" t="inlineStr">
        <is>
          <t>Review Items</t>
        </is>
      </c>
      <c r="B10" s="2" t="n">
        <v>46</v>
      </c>
      <c r="C10" s="2" t="n"/>
      <c r="D10" s="2" t="n"/>
      <c r="E10" s="2" t="n"/>
      <c r="F10" s="2" t="n"/>
      <c r="G10" s="2" t="n"/>
      <c r="H10" s="2" t="n"/>
    </row>
    <row r="11">
      <c r="A11" s="2" t="inlineStr">
        <is>
          <t>Total Amps</t>
        </is>
      </c>
      <c r="B11" s="2">
        <f>'Electrical Schedule'!J61</f>
        <v/>
      </c>
      <c r="C11" s="2" t="n"/>
      <c r="D11" s="2" t="n"/>
      <c r="E11" s="2" t="n"/>
      <c r="F11" s="2" t="n"/>
      <c r="G11" s="2" t="n"/>
      <c r="H11" s="2" t="n"/>
    </row>
    <row r="12">
      <c r="A12" s="2" t="inlineStr">
        <is>
          <t>Extended Amps</t>
        </is>
      </c>
      <c r="B12" s="2" t="inlineStr">
        <is>
          <t>Pending engineering definition; excluded from this pilot calculation.</t>
        </is>
      </c>
      <c r="C12" s="2" t="n"/>
      <c r="D12" s="2" t="n"/>
      <c r="E12" s="2" t="n"/>
      <c r="F12" s="2" t="n"/>
      <c r="G12" s="2" t="n"/>
      <c r="H12" s="2" t="n"/>
    </row>
    <row r="13">
      <c r="A13" s="2" t="inlineStr">
        <is>
          <t>Engineer Requirement Overrides</t>
        </is>
      </c>
      <c r="B13" s="2" t="n">
        <v>0</v>
      </c>
      <c r="C13" s="2" t="n"/>
      <c r="D13" s="2" t="n"/>
      <c r="E13" s="2" t="n"/>
      <c r="F13" s="2" t="n"/>
      <c r="G13" s="2" t="n"/>
      <c r="H13" s="2" t="n"/>
    </row>
    <row r="14">
      <c r="A14" s="2" t="inlineStr">
        <is>
          <t>Custom Requirement Rows</t>
        </is>
      </c>
      <c r="B14" s="2" t="n">
        <v>0</v>
      </c>
      <c r="C14" s="2" t="n"/>
      <c r="D14" s="2" t="n"/>
      <c r="E14" s="2" t="n"/>
      <c r="F14" s="2" t="n"/>
      <c r="G14" s="2" t="n"/>
      <c r="H14" s="2" t="n"/>
    </row>
    <row r="15">
      <c r="A15" s="2" t="n"/>
      <c r="B15" s="2" t="n"/>
      <c r="C15" s="2" t="n"/>
      <c r="D15" s="2" t="n"/>
      <c r="E15" s="2" t="n"/>
      <c r="F15" s="2" t="n"/>
      <c r="G15" s="2" t="n"/>
      <c r="H15" s="2" t="n"/>
    </row>
    <row r="16">
      <c r="A16" s="2" t="inlineStr">
        <is>
          <t>Voltage</t>
        </is>
      </c>
      <c r="B16" s="2" t="inlineStr">
        <is>
          <t>Total Amps</t>
        </is>
      </c>
      <c r="C16" s="2" t="n"/>
      <c r="D16" s="2" t="n"/>
      <c r="E16" s="2" t="n"/>
      <c r="F16" s="2" t="n"/>
      <c r="G16" s="2" t="n"/>
      <c r="H16" s="2" t="n"/>
    </row>
    <row r="17">
      <c r="A17" s="2" t="n">
        <v>120</v>
      </c>
      <c r="B17" s="2">
        <f>SUMIF('Electrical Schedule'!I$7:I$60,A17,'Electrical Schedule'!J$7:J$60)</f>
        <v/>
      </c>
      <c r="C17" s="2" t="n"/>
      <c r="D17" s="2" t="n"/>
      <c r="E17" s="2" t="n"/>
      <c r="F17" s="2" t="n"/>
      <c r="G17" s="2" t="n"/>
      <c r="H17" s="2" t="n"/>
    </row>
    <row r="18">
      <c r="A18" s="2" t="n">
        <v>460</v>
      </c>
      <c r="B18" s="2">
        <f>SUMIF('Electrical Schedule'!I$7:I$60,A18,'Electrical Schedule'!J$7:J$60)</f>
        <v/>
      </c>
      <c r="C18" s="2" t="n"/>
      <c r="D18" s="2" t="n"/>
      <c r="E18" s="2" t="n"/>
      <c r="F18" s="2" t="n"/>
      <c r="G18" s="2" t="n"/>
      <c r="H18" s="2" t="n"/>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Q61"/>
  <sheetViews>
    <sheetView workbookViewId="0">
      <pane ySplit="6" topLeftCell="A7" activePane="bottomLeft" state="frozen"/>
      <selection pane="bottomLeft" activeCell="A1" sqref="A1"/>
    </sheetView>
  </sheetViews>
  <sheetFormatPr baseColWidth="8" defaultRowHeight="15"/>
  <cols>
    <col width="6" customWidth="1" min="1" max="1"/>
    <col width="13" customWidth="1" min="2" max="2"/>
    <col width="9" customWidth="1" min="3" max="3"/>
    <col width="24" customWidth="1" min="4" max="4"/>
    <col width="7" customWidth="1" min="5" max="5"/>
    <col width="52" customWidth="1" min="6" max="6"/>
    <col width="9" customWidth="1" min="7" max="7"/>
    <col width="9" customWidth="1" min="8" max="8"/>
    <col width="10" customWidth="1" min="9" max="9"/>
    <col width="10" customWidth="1" min="10" max="10"/>
    <col width="10" customWidth="1" min="11" max="11"/>
    <col width="11" customWidth="1" min="12" max="12"/>
    <col width="11" customWidth="1" min="13" max="13"/>
    <col width="11" customWidth="1" min="14" max="14"/>
    <col width="12" customWidth="1" min="15" max="15"/>
    <col width="8" customWidth="1" min="16" max="16"/>
    <col width="14" customWidth="1" min="17" max="17"/>
  </cols>
  <sheetData>
    <row r="1" ht="28" customHeight="1">
      <c r="A1" s="4" t="inlineStr">
        <is>
          <t>B KOZ INC - ELECTRICAL SCHEDULE</t>
        </is>
      </c>
    </row>
    <row r="2"/>
    <row r="3" ht="23" customHeight="1">
      <c r="A3" s="5" t="inlineStr">
        <is>
          <t>CAR WASH EQUIPMENT LIST</t>
        </is>
      </c>
      <c r="B3" s="5" t="n"/>
      <c r="C3" s="5" t="n"/>
      <c r="D3" s="5" t="n"/>
      <c r="E3" s="5" t="n"/>
      <c r="F3" s="5" t="n"/>
      <c r="G3" s="5" t="inlineStr">
        <is>
          <t>EQUIPMENT REQUIREMENTS</t>
        </is>
      </c>
      <c r="H3" s="5" t="n"/>
      <c r="I3" s="5" t="n"/>
      <c r="J3" s="5" t="n"/>
      <c r="K3" s="5" t="n"/>
      <c r="L3" s="5" t="n"/>
      <c r="M3" s="5" t="n"/>
      <c r="N3" s="5" t="n"/>
      <c r="O3" s="5" t="n"/>
      <c r="P3" s="5" t="n"/>
      <c r="Q3" s="5" t="n"/>
    </row>
    <row r="4">
      <c r="A4" s="5" t="n"/>
      <c r="B4" s="5" t="n"/>
      <c r="C4" s="5" t="n"/>
      <c r="D4" s="5" t="n"/>
      <c r="E4" s="5" t="n"/>
      <c r="F4" s="5" t="n"/>
      <c r="G4" s="5" t="n"/>
      <c r="H4" s="5" t="n"/>
      <c r="I4" s="5" t="n"/>
      <c r="J4" s="5" t="n"/>
      <c r="K4" s="5" t="n"/>
      <c r="L4" s="5" t="n"/>
      <c r="M4" s="5" t="n"/>
      <c r="N4" s="5" t="n"/>
      <c r="O4" s="5" t="n"/>
      <c r="P4" s="5" t="n"/>
      <c r="Q4" s="5" t="n"/>
    </row>
    <row r="5" ht="22" customHeight="1">
      <c r="A5" s="5" t="n"/>
      <c r="B5" s="5" t="n"/>
      <c r="C5" s="5" t="n"/>
      <c r="D5" s="5" t="n"/>
      <c r="E5" s="5" t="n"/>
      <c r="F5" s="5" t="n"/>
      <c r="G5" s="5" t="inlineStr">
        <is>
          <t>ELECTRICAL</t>
        </is>
      </c>
      <c r="H5" s="5" t="n"/>
      <c r="I5" s="5" t="n"/>
      <c r="J5" s="5" t="n"/>
      <c r="K5" s="5" t="n"/>
      <c r="L5" s="5" t="inlineStr">
        <is>
          <t>AIR</t>
        </is>
      </c>
      <c r="M5" s="5" t="inlineStr">
        <is>
          <t>WATER</t>
        </is>
      </c>
      <c r="N5" s="5" t="n"/>
      <c r="O5" s="5" t="n"/>
      <c r="P5" s="5" t="n"/>
      <c r="Q5" s="5" t="inlineStr">
        <is>
          <t>GAS</t>
        </is>
      </c>
    </row>
    <row r="6" ht="30" customHeight="1">
      <c r="A6" s="5" t="n"/>
      <c r="B6" s="5" t="inlineStr">
        <is>
          <t>PROJECT ITEM #</t>
        </is>
      </c>
      <c r="C6" s="5" t="n"/>
      <c r="D6" s="5" t="inlineStr">
        <is>
          <t>PART #</t>
        </is>
      </c>
      <c r="E6" s="5" t="inlineStr">
        <is>
          <t>#</t>
        </is>
      </c>
      <c r="F6" s="5" t="inlineStr">
        <is>
          <t>DESCRIPTION</t>
        </is>
      </c>
      <c r="G6" s="5" t="inlineStr">
        <is>
          <t>HP</t>
        </is>
      </c>
      <c r="H6" s="5" t="inlineStr">
        <is>
          <t>PHASE</t>
        </is>
      </c>
      <c r="I6" s="5" t="inlineStr">
        <is>
          <t>VOLTS</t>
        </is>
      </c>
      <c r="J6" s="5" t="inlineStr">
        <is>
          <t>AMPS</t>
        </is>
      </c>
      <c r="K6" s="5" t="inlineStr">
        <is>
          <t>C.B.</t>
        </is>
      </c>
      <c r="L6" s="5" t="inlineStr">
        <is>
          <t>PORT</t>
        </is>
      </c>
      <c r="M6" s="5" t="inlineStr">
        <is>
          <t>COLD</t>
        </is>
      </c>
      <c r="N6" s="5" t="inlineStr">
        <is>
          <t>HOT</t>
        </is>
      </c>
      <c r="O6" s="5" t="inlineStr">
        <is>
          <t>RECLAIM</t>
        </is>
      </c>
      <c r="P6" s="5" t="inlineStr"/>
      <c r="Q6" s="5" t="inlineStr">
        <is>
          <t>(BTUH)</t>
        </is>
      </c>
    </row>
    <row r="7" ht="18" customHeight="1">
      <c r="A7" s="6" t="n">
        <v>1</v>
      </c>
      <c r="B7" s="6" t="inlineStr">
        <is>
          <t>1</t>
        </is>
      </c>
      <c r="C7" s="6" t="inlineStr"/>
      <c r="D7" s="6" t="inlineStr">
        <is>
          <t>RC4</t>
        </is>
      </c>
      <c r="E7" s="6" t="n">
        <v>1</v>
      </c>
      <c r="F7" s="6" t="inlineStr">
        <is>
          <t>Roller Correlator, 2-1/2" Sch 10 Rollers, Frames, SS</t>
        </is>
      </c>
      <c r="G7" s="6" t="inlineStr">
        <is>
          <t>-</t>
        </is>
      </c>
      <c r="H7" s="6" t="inlineStr">
        <is>
          <t>-</t>
        </is>
      </c>
      <c r="I7" s="6" t="inlineStr">
        <is>
          <t>-</t>
        </is>
      </c>
      <c r="J7" s="6" t="inlineStr">
        <is>
          <t>-</t>
        </is>
      </c>
      <c r="K7" s="6" t="inlineStr">
        <is>
          <t>-</t>
        </is>
      </c>
      <c r="L7" s="6" t="inlineStr">
        <is>
          <t>-</t>
        </is>
      </c>
      <c r="M7" s="6" t="inlineStr">
        <is>
          <t>-</t>
        </is>
      </c>
      <c r="N7" s="6" t="inlineStr">
        <is>
          <t>-</t>
        </is>
      </c>
      <c r="O7" s="6" t="inlineStr">
        <is>
          <t>-</t>
        </is>
      </c>
      <c r="P7" s="6" t="n"/>
      <c r="Q7" s="6" t="inlineStr">
        <is>
          <t>-</t>
        </is>
      </c>
    </row>
    <row r="8" ht="56" customHeight="1">
      <c r="A8" s="6" t="n">
        <v>2</v>
      </c>
      <c r="B8" s="6" t="inlineStr">
        <is>
          <t>2</t>
        </is>
      </c>
      <c r="C8" s="6" t="inlineStr"/>
      <c r="D8" s="6" t="inlineStr">
        <is>
          <t>PHE2-0315</t>
        </is>
      </c>
      <c r="E8" s="6" t="n">
        <v>1</v>
      </c>
      <c r="F8" s="6" t="inlineStr">
        <is>
          <t>Entrance Gate System, (2) Photo World Beam Universal Voltage Electric Eye Sets with Stands (w/o Tire Switch) for Independent Vehicle Body and Wheel Detection</t>
        </is>
      </c>
      <c r="G8" s="6" t="inlineStr">
        <is>
          <t>-</t>
        </is>
      </c>
      <c r="H8" s="6" t="n">
        <v>1</v>
      </c>
      <c r="I8" s="6" t="n">
        <v>120</v>
      </c>
      <c r="J8" s="6" t="n">
        <v>0.5</v>
      </c>
      <c r="K8" s="6" t="inlineStr">
        <is>
          <t>-</t>
        </is>
      </c>
      <c r="L8" s="6" t="inlineStr">
        <is>
          <t>-</t>
        </is>
      </c>
      <c r="M8" s="6" t="inlineStr">
        <is>
          <t>-</t>
        </is>
      </c>
      <c r="N8" s="6" t="inlineStr">
        <is>
          <t>-</t>
        </is>
      </c>
      <c r="O8" s="6" t="inlineStr">
        <is>
          <t>-</t>
        </is>
      </c>
      <c r="P8" s="6" t="n"/>
      <c r="Q8" s="6" t="inlineStr">
        <is>
          <t>-</t>
        </is>
      </c>
    </row>
    <row r="9" ht="28" customHeight="1">
      <c r="A9" s="6" t="n">
        <v>3</v>
      </c>
      <c r="B9" s="6" t="inlineStr">
        <is>
          <t>3</t>
        </is>
      </c>
      <c r="C9" s="6" t="inlineStr"/>
      <c r="D9" s="6" t="inlineStr">
        <is>
          <t>PGS1</t>
        </is>
      </c>
      <c r="E9" s="6" t="n">
        <v>1</v>
      </c>
      <c r="F9" s="6" t="inlineStr">
        <is>
          <t>Pump Station (Prep-Gun), PSD10 7.5HP, 6 GPM, (2) Prep Guns w/ Stainless Steel Gun Holders</t>
        </is>
      </c>
      <c r="G9" s="6" t="inlineStr">
        <is>
          <t>-</t>
        </is>
      </c>
      <c r="H9" s="6" t="inlineStr">
        <is>
          <t>-</t>
        </is>
      </c>
      <c r="I9" s="6" t="inlineStr">
        <is>
          <t>-</t>
        </is>
      </c>
      <c r="J9" s="6" t="inlineStr">
        <is>
          <t>-</t>
        </is>
      </c>
      <c r="K9" s="6" t="inlineStr">
        <is>
          <t>-</t>
        </is>
      </c>
      <c r="L9" s="6" t="inlineStr">
        <is>
          <t>-</t>
        </is>
      </c>
      <c r="M9" s="6" t="inlineStr">
        <is>
          <t>-</t>
        </is>
      </c>
      <c r="N9" s="6" t="inlineStr">
        <is>
          <t>-</t>
        </is>
      </c>
      <c r="O9" s="6" t="inlineStr">
        <is>
          <t>-</t>
        </is>
      </c>
      <c r="P9" s="6" t="n"/>
      <c r="Q9" s="6" t="inlineStr">
        <is>
          <t>-</t>
        </is>
      </c>
    </row>
    <row r="10" ht="18" customHeight="1">
      <c r="A10" s="6" t="n">
        <v>4</v>
      </c>
      <c r="B10" s="6" t="inlineStr">
        <is>
          <t>3</t>
        </is>
      </c>
      <c r="C10" s="6" t="inlineStr">
        <is>
          <t>A</t>
        </is>
      </c>
      <c r="D10" s="6" t="inlineStr">
        <is>
          <t>PSD10</t>
        </is>
      </c>
      <c r="E10" s="6" t="n">
        <v>1</v>
      </c>
      <c r="F10" s="6" t="inlineStr">
        <is>
          <t>-SINGLE PUMPING STATION</t>
        </is>
      </c>
      <c r="G10" s="6" t="inlineStr">
        <is>
          <t>-</t>
        </is>
      </c>
      <c r="H10" s="6" t="inlineStr">
        <is>
          <t>-</t>
        </is>
      </c>
      <c r="I10" s="6" t="inlineStr">
        <is>
          <t>-</t>
        </is>
      </c>
      <c r="J10" s="6" t="inlineStr">
        <is>
          <t>-</t>
        </is>
      </c>
      <c r="K10" s="6" t="inlineStr">
        <is>
          <t>-</t>
        </is>
      </c>
      <c r="L10" s="6" t="inlineStr">
        <is>
          <t>-</t>
        </is>
      </c>
      <c r="M10" s="6" t="inlineStr">
        <is>
          <t>-</t>
        </is>
      </c>
      <c r="N10" s="6" t="inlineStr">
        <is>
          <t>-</t>
        </is>
      </c>
      <c r="O10" s="6" t="inlineStr">
        <is>
          <t>-</t>
        </is>
      </c>
      <c r="P10" s="6" t="n"/>
      <c r="Q10" s="6" t="inlineStr">
        <is>
          <t>-</t>
        </is>
      </c>
    </row>
    <row r="11" ht="18" customHeight="1">
      <c r="A11" s="7" t="n">
        <v>5</v>
      </c>
      <c r="B11" s="7" t="inlineStr">
        <is>
          <t>3</t>
        </is>
      </c>
      <c r="C11" s="7" t="inlineStr">
        <is>
          <t>AA</t>
        </is>
      </c>
      <c r="D11" s="7" t="inlineStr">
        <is>
          <t>M</t>
        </is>
      </c>
      <c r="E11" s="7" t="n">
        <v>1</v>
      </c>
      <c r="F11" s="7" t="inlineStr">
        <is>
          <t>-MOTOR</t>
        </is>
      </c>
      <c r="G11" s="7" t="n">
        <v>7.5</v>
      </c>
      <c r="H11" s="7" t="n">
        <v>3</v>
      </c>
      <c r="I11" s="7" t="n">
        <v>460</v>
      </c>
      <c r="J11" s="7" t="n">
        <v>9</v>
      </c>
      <c r="K11" s="7" t="inlineStr">
        <is>
          <t>-</t>
        </is>
      </c>
      <c r="L11" s="7" t="inlineStr">
        <is>
          <t>-</t>
        </is>
      </c>
      <c r="M11" s="7" t="inlineStr">
        <is>
          <t>-</t>
        </is>
      </c>
      <c r="N11" s="7" t="inlineStr">
        <is>
          <t>-</t>
        </is>
      </c>
      <c r="O11" s="7" t="inlineStr">
        <is>
          <t>-</t>
        </is>
      </c>
      <c r="P11" s="7" t="n"/>
      <c r="Q11" s="7" t="inlineStr">
        <is>
          <t>-</t>
        </is>
      </c>
    </row>
    <row r="12" ht="18" customHeight="1">
      <c r="A12" s="7" t="n">
        <v>6</v>
      </c>
      <c r="B12" s="7" t="inlineStr">
        <is>
          <t>3</t>
        </is>
      </c>
      <c r="C12" s="7" t="inlineStr">
        <is>
          <t>AB</t>
        </is>
      </c>
      <c r="D12" s="7" t="inlineStr">
        <is>
          <t>LLS</t>
        </is>
      </c>
      <c r="E12" s="7" t="n">
        <v>1</v>
      </c>
      <c r="F12" s="7" t="inlineStr">
        <is>
          <t>-LOW LEVEL SWITCH</t>
        </is>
      </c>
      <c r="G12" s="7" t="inlineStr">
        <is>
          <t>-</t>
        </is>
      </c>
      <c r="H12" s="7" t="n">
        <v>1</v>
      </c>
      <c r="I12" s="7" t="n">
        <v>120</v>
      </c>
      <c r="J12" s="7" t="n">
        <v>0.28</v>
      </c>
      <c r="K12" s="7" t="inlineStr">
        <is>
          <t>-</t>
        </is>
      </c>
      <c r="L12" s="7" t="inlineStr">
        <is>
          <t>-</t>
        </is>
      </c>
      <c r="M12" s="7" t="inlineStr">
        <is>
          <t>-</t>
        </is>
      </c>
      <c r="N12" s="7" t="inlineStr">
        <is>
          <t>-</t>
        </is>
      </c>
      <c r="O12" s="7" t="inlineStr">
        <is>
          <t>-</t>
        </is>
      </c>
      <c r="P12" s="7" t="n"/>
      <c r="Q12" s="7" t="inlineStr">
        <is>
          <t>-</t>
        </is>
      </c>
    </row>
    <row r="13" ht="28" customHeight="1">
      <c r="A13" s="6" t="n">
        <v>7</v>
      </c>
      <c r="B13" s="6" t="inlineStr">
        <is>
          <t>4</t>
        </is>
      </c>
      <c r="C13" s="6" t="inlineStr"/>
      <c r="D13" s="6" t="inlineStr">
        <is>
          <t>UW2</t>
        </is>
      </c>
      <c r="E13" s="6" t="n">
        <v>1</v>
      </c>
      <c r="F13" s="6" t="inlineStr">
        <is>
          <t>Under Carriage Wash, Hexagon Shape, SS Construction, 90° elbows, PVDF Nozzles</t>
        </is>
      </c>
      <c r="G13" s="6" t="inlineStr">
        <is>
          <t>-</t>
        </is>
      </c>
      <c r="H13" s="6" t="inlineStr">
        <is>
          <t>-</t>
        </is>
      </c>
      <c r="I13" s="6" t="inlineStr">
        <is>
          <t>-</t>
        </is>
      </c>
      <c r="J13" s="6" t="inlineStr">
        <is>
          <t>-</t>
        </is>
      </c>
      <c r="K13" s="6" t="inlineStr">
        <is>
          <t>-</t>
        </is>
      </c>
      <c r="L13" s="6" t="inlineStr">
        <is>
          <t>-</t>
        </is>
      </c>
      <c r="M13" s="6" t="inlineStr">
        <is>
          <t>-</t>
        </is>
      </c>
      <c r="N13" s="6" t="inlineStr">
        <is>
          <t>-</t>
        </is>
      </c>
      <c r="O13" s="6" t="inlineStr">
        <is>
          <t>-</t>
        </is>
      </c>
      <c r="P13" s="6" t="n"/>
      <c r="Q13" s="6" t="inlineStr">
        <is>
          <t>-</t>
        </is>
      </c>
    </row>
    <row r="14" ht="18" customHeight="1">
      <c r="A14" s="6" t="n">
        <v>8</v>
      </c>
      <c r="B14" s="6" t="inlineStr">
        <is>
          <t>5</t>
        </is>
      </c>
      <c r="C14" s="6" t="inlineStr"/>
      <c r="D14" s="6" t="inlineStr">
        <is>
          <t>J3179</t>
        </is>
      </c>
      <c r="E14" s="6" t="n">
        <v>1</v>
      </c>
      <c r="F14" s="6" t="inlineStr">
        <is>
          <t>AVALANCHE JUNIOR</t>
        </is>
      </c>
      <c r="G14" s="6" t="inlineStr">
        <is>
          <t>-</t>
        </is>
      </c>
      <c r="H14" s="6" t="inlineStr">
        <is>
          <t>-</t>
        </is>
      </c>
      <c r="I14" s="6" t="inlineStr">
        <is>
          <t>-</t>
        </is>
      </c>
      <c r="J14" s="6" t="inlineStr">
        <is>
          <t>-</t>
        </is>
      </c>
      <c r="K14" s="6" t="inlineStr">
        <is>
          <t>-</t>
        </is>
      </c>
      <c r="L14" s="6" t="inlineStr">
        <is>
          <t>-</t>
        </is>
      </c>
      <c r="M14" s="6" t="inlineStr">
        <is>
          <t>-</t>
        </is>
      </c>
      <c r="N14" s="6" t="inlineStr">
        <is>
          <t>-</t>
        </is>
      </c>
      <c r="O14" s="6" t="inlineStr">
        <is>
          <t>-</t>
        </is>
      </c>
      <c r="P14" s="6" t="n"/>
      <c r="Q14" s="6" t="inlineStr">
        <is>
          <t>-</t>
        </is>
      </c>
    </row>
    <row r="15" ht="28" customHeight="1">
      <c r="A15" s="6" t="n">
        <v>9</v>
      </c>
      <c r="B15" s="6" t="inlineStr">
        <is>
          <t>6</t>
        </is>
      </c>
      <c r="C15" s="6" t="inlineStr"/>
      <c r="D15" s="6" t="inlineStr">
        <is>
          <t>CTA1</t>
        </is>
      </c>
      <c r="E15" s="6" t="n">
        <v>1</v>
      </c>
      <c r="F15" s="6" t="inlineStr">
        <is>
          <t>Set-Chemical Tire Applicator, SS Construction, PVDF Nozzles, Chemical Pump Panel, non-foaming</t>
        </is>
      </c>
      <c r="G15" s="6" t="inlineStr">
        <is>
          <t>-</t>
        </is>
      </c>
      <c r="H15" s="6" t="inlineStr">
        <is>
          <t>-</t>
        </is>
      </c>
      <c r="I15" s="6" t="inlineStr">
        <is>
          <t>-</t>
        </is>
      </c>
      <c r="J15" s="6" t="inlineStr">
        <is>
          <t>-</t>
        </is>
      </c>
      <c r="K15" s="6" t="inlineStr">
        <is>
          <t>-</t>
        </is>
      </c>
      <c r="L15" s="6" t="inlineStr">
        <is>
          <t>-</t>
        </is>
      </c>
      <c r="M15" s="6" t="inlineStr">
        <is>
          <t>-</t>
        </is>
      </c>
      <c r="N15" s="6" t="inlineStr">
        <is>
          <t>-</t>
        </is>
      </c>
      <c r="O15" s="6" t="inlineStr">
        <is>
          <t>-</t>
        </is>
      </c>
      <c r="P15" s="6" t="n"/>
      <c r="Q15" s="6" t="inlineStr">
        <is>
          <t>-</t>
        </is>
      </c>
    </row>
    <row r="16" ht="18" customHeight="1">
      <c r="A16" s="6" t="n">
        <v>10</v>
      </c>
      <c r="B16" s="6" t="inlineStr">
        <is>
          <t>6</t>
        </is>
      </c>
      <c r="C16" s="6" t="inlineStr">
        <is>
          <t>A</t>
        </is>
      </c>
      <c r="D16" s="6" t="inlineStr">
        <is>
          <t>APS1</t>
        </is>
      </c>
      <c r="E16" s="6" t="n">
        <v>1</v>
      </c>
      <c r="F16" s="6" t="inlineStr">
        <is>
          <t>-AIR PUMP PANEL (FLOJET)</t>
        </is>
      </c>
      <c r="G16" s="6" t="inlineStr">
        <is>
          <t>-</t>
        </is>
      </c>
      <c r="H16" s="6" t="inlineStr">
        <is>
          <t>-</t>
        </is>
      </c>
      <c r="I16" s="6" t="inlineStr">
        <is>
          <t>-</t>
        </is>
      </c>
      <c r="J16" s="6" t="inlineStr">
        <is>
          <t>-</t>
        </is>
      </c>
      <c r="K16" s="6" t="inlineStr">
        <is>
          <t>-</t>
        </is>
      </c>
      <c r="L16" s="6" t="inlineStr">
        <is>
          <t>X</t>
        </is>
      </c>
      <c r="M16" s="6" t="inlineStr">
        <is>
          <t>-</t>
        </is>
      </c>
      <c r="N16" s="6" t="inlineStr">
        <is>
          <t>-</t>
        </is>
      </c>
      <c r="O16" s="6" t="inlineStr">
        <is>
          <t>-</t>
        </is>
      </c>
      <c r="P16" s="6" t="n"/>
      <c r="Q16" s="6" t="inlineStr">
        <is>
          <t>-</t>
        </is>
      </c>
    </row>
    <row r="17" ht="18" customHeight="1">
      <c r="A17" s="7" t="n">
        <v>11</v>
      </c>
      <c r="B17" s="7" t="inlineStr">
        <is>
          <t>6</t>
        </is>
      </c>
      <c r="C17" s="7" t="inlineStr">
        <is>
          <t>AA</t>
        </is>
      </c>
      <c r="D17" s="7" t="inlineStr">
        <is>
          <t>SOL</t>
        </is>
      </c>
      <c r="E17" s="7" t="n">
        <v>1</v>
      </c>
      <c r="F17" s="7" t="inlineStr">
        <is>
          <t>-SOLENOID VALVE</t>
        </is>
      </c>
      <c r="G17" s="7" t="inlineStr">
        <is>
          <t>-</t>
        </is>
      </c>
      <c r="H17" s="7" t="n">
        <v>1</v>
      </c>
      <c r="I17" s="7" t="n">
        <v>120</v>
      </c>
      <c r="J17" s="7" t="n">
        <v>0.25</v>
      </c>
      <c r="K17" s="7" t="inlineStr">
        <is>
          <t>-</t>
        </is>
      </c>
      <c r="L17" s="7" t="inlineStr">
        <is>
          <t>1/4 NPT</t>
        </is>
      </c>
      <c r="M17" s="7" t="inlineStr">
        <is>
          <t>1/2"</t>
        </is>
      </c>
      <c r="N17" s="7" t="inlineStr">
        <is>
          <t>X</t>
        </is>
      </c>
      <c r="O17" s="7" t="inlineStr">
        <is>
          <t>-</t>
        </is>
      </c>
      <c r="P17" s="7" t="n"/>
      <c r="Q17" s="7" t="inlineStr">
        <is>
          <t>-</t>
        </is>
      </c>
    </row>
    <row r="18" ht="42" customHeight="1">
      <c r="A18" s="6" t="n">
        <v>12</v>
      </c>
      <c r="B18" s="6" t="inlineStr">
        <is>
          <t>7</t>
        </is>
      </c>
      <c r="C18" s="6" t="inlineStr"/>
      <c r="D18" s="6" t="inlineStr">
        <is>
          <t>RB1-EL-0122</t>
        </is>
      </c>
      <c r="E18" s="6" t="n">
        <v>1</v>
      </c>
      <c r="F18" s="6" t="inlineStr">
        <is>
          <t>Set-Rocker Panel Brush, Adjustable Coverage Angle, Electric Drive, Universal Motor Mount, Includes Rinse Manifolds, SS (Brushes Not Included)</t>
        </is>
      </c>
      <c r="G18" s="6" t="inlineStr">
        <is>
          <t>-</t>
        </is>
      </c>
      <c r="H18" s="6" t="inlineStr">
        <is>
          <t>-</t>
        </is>
      </c>
      <c r="I18" s="6" t="inlineStr">
        <is>
          <t>-</t>
        </is>
      </c>
      <c r="J18" s="6" t="inlineStr">
        <is>
          <t>-</t>
        </is>
      </c>
      <c r="K18" s="6" t="inlineStr">
        <is>
          <t>-</t>
        </is>
      </c>
      <c r="L18" s="6" t="inlineStr">
        <is>
          <t>-</t>
        </is>
      </c>
      <c r="M18" s="6" t="inlineStr">
        <is>
          <t>-</t>
        </is>
      </c>
      <c r="N18" s="6" t="inlineStr">
        <is>
          <t>-</t>
        </is>
      </c>
      <c r="O18" s="6" t="inlineStr">
        <is>
          <t>-</t>
        </is>
      </c>
      <c r="P18" s="6" t="n"/>
      <c r="Q18" s="6" t="inlineStr">
        <is>
          <t>-</t>
        </is>
      </c>
    </row>
    <row r="19" ht="18" customHeight="1">
      <c r="A19" s="7" t="n">
        <v>13</v>
      </c>
      <c r="B19" s="7" t="inlineStr">
        <is>
          <t>7</t>
        </is>
      </c>
      <c r="C19" s="7" t="inlineStr">
        <is>
          <t>A</t>
        </is>
      </c>
      <c r="D19" s="7" t="inlineStr">
        <is>
          <t>M</t>
        </is>
      </c>
      <c r="E19" s="7" t="n">
        <v>2</v>
      </c>
      <c r="F19" s="7" t="inlineStr">
        <is>
          <t>-MOTOR</t>
        </is>
      </c>
      <c r="G19" s="7" t="n">
        <v>1.5</v>
      </c>
      <c r="H19" s="7" t="n">
        <v>3</v>
      </c>
      <c r="I19" s="7" t="n">
        <v>460</v>
      </c>
      <c r="J19" s="7" t="n">
        <v>2</v>
      </c>
      <c r="K19" s="7" t="inlineStr">
        <is>
          <t>-</t>
        </is>
      </c>
      <c r="L19" s="7" t="inlineStr">
        <is>
          <t>-</t>
        </is>
      </c>
      <c r="M19" s="7" t="inlineStr">
        <is>
          <t>-</t>
        </is>
      </c>
      <c r="N19" s="7" t="inlineStr">
        <is>
          <t>-</t>
        </is>
      </c>
      <c r="O19" s="7" t="inlineStr">
        <is>
          <t>-</t>
        </is>
      </c>
      <c r="P19" s="7" t="n"/>
      <c r="Q19" s="7" t="inlineStr">
        <is>
          <t>-</t>
        </is>
      </c>
    </row>
    <row r="20" ht="18" customHeight="1">
      <c r="A20" s="7" t="n">
        <v>14</v>
      </c>
      <c r="B20" s="7" t="inlineStr">
        <is>
          <t>7</t>
        </is>
      </c>
      <c r="C20" s="7" t="inlineStr">
        <is>
          <t>B</t>
        </is>
      </c>
      <c r="D20" s="7" t="inlineStr">
        <is>
          <t>M</t>
        </is>
      </c>
      <c r="E20" s="7" t="n">
        <v>3</v>
      </c>
      <c r="F20" s="7" t="inlineStr">
        <is>
          <t>-MOTOR</t>
        </is>
      </c>
      <c r="G20" s="7" t="n">
        <v>1.5</v>
      </c>
      <c r="H20" s="7" t="n">
        <v>3</v>
      </c>
      <c r="I20" s="7" t="n">
        <v>460</v>
      </c>
      <c r="J20" s="7" t="n">
        <v>2</v>
      </c>
      <c r="K20" s="7" t="inlineStr">
        <is>
          <t>-</t>
        </is>
      </c>
      <c r="L20" s="7" t="inlineStr">
        <is>
          <t>-</t>
        </is>
      </c>
      <c r="M20" s="7" t="inlineStr">
        <is>
          <t>-</t>
        </is>
      </c>
      <c r="N20" s="7" t="inlineStr">
        <is>
          <t>-</t>
        </is>
      </c>
      <c r="O20" s="7" t="inlineStr">
        <is>
          <t>-</t>
        </is>
      </c>
      <c r="P20" s="7" t="n"/>
      <c r="Q20" s="7" t="inlineStr">
        <is>
          <t>-</t>
        </is>
      </c>
    </row>
    <row r="21" ht="18" customHeight="1">
      <c r="A21" s="6" t="n">
        <v>15</v>
      </c>
      <c r="B21" s="6" t="inlineStr">
        <is>
          <t>7</t>
        </is>
      </c>
      <c r="C21" s="6" t="inlineStr">
        <is>
          <t>C</t>
        </is>
      </c>
      <c r="D21" s="6" t="inlineStr">
        <is>
          <t>RB1G</t>
        </is>
      </c>
      <c r="E21" s="6" t="n">
        <v>1</v>
      </c>
      <c r="F21" s="6" t="inlineStr">
        <is>
          <t>-ROCKER BRUSH RETRACT KIT</t>
        </is>
      </c>
      <c r="G21" s="6" t="inlineStr">
        <is>
          <t>-</t>
        </is>
      </c>
      <c r="H21" s="6" t="inlineStr">
        <is>
          <t>-</t>
        </is>
      </c>
      <c r="I21" s="6" t="inlineStr">
        <is>
          <t>-</t>
        </is>
      </c>
      <c r="J21" s="6" t="inlineStr">
        <is>
          <t>-</t>
        </is>
      </c>
      <c r="K21" s="6" t="inlineStr">
        <is>
          <t>-</t>
        </is>
      </c>
      <c r="L21" s="6" t="inlineStr">
        <is>
          <t>-</t>
        </is>
      </c>
      <c r="M21" s="6" t="inlineStr">
        <is>
          <t>-</t>
        </is>
      </c>
      <c r="N21" s="6" t="inlineStr">
        <is>
          <t>-</t>
        </is>
      </c>
      <c r="O21" s="6" t="inlineStr">
        <is>
          <t>-</t>
        </is>
      </c>
      <c r="P21" s="6" t="n"/>
      <c r="Q21" s="6" t="inlineStr">
        <is>
          <t>-</t>
        </is>
      </c>
    </row>
    <row r="22" ht="18" customHeight="1">
      <c r="A22" s="6" t="n">
        <v>16</v>
      </c>
      <c r="B22" s="6" t="inlineStr">
        <is>
          <t>7</t>
        </is>
      </c>
      <c r="C22" s="6" t="inlineStr">
        <is>
          <t>CA</t>
        </is>
      </c>
      <c r="D22" s="6" t="inlineStr">
        <is>
          <t>WA1P</t>
        </is>
      </c>
      <c r="E22" s="6" t="n">
        <v>1</v>
      </c>
      <c r="F22" s="6" t="inlineStr">
        <is>
          <t>-AIR CONTROL PANEL</t>
        </is>
      </c>
      <c r="G22" s="6" t="inlineStr">
        <is>
          <t>-</t>
        </is>
      </c>
      <c r="H22" s="6" t="inlineStr">
        <is>
          <t>-</t>
        </is>
      </c>
      <c r="I22" s="6" t="inlineStr">
        <is>
          <t>-</t>
        </is>
      </c>
      <c r="J22" s="6" t="inlineStr">
        <is>
          <t>-</t>
        </is>
      </c>
      <c r="K22" s="6" t="inlineStr">
        <is>
          <t>-</t>
        </is>
      </c>
      <c r="L22" s="6" t="inlineStr">
        <is>
          <t>-</t>
        </is>
      </c>
      <c r="M22" s="6" t="inlineStr">
        <is>
          <t>-</t>
        </is>
      </c>
      <c r="N22" s="6" t="inlineStr">
        <is>
          <t>-</t>
        </is>
      </c>
      <c r="O22" s="6" t="inlineStr">
        <is>
          <t>-</t>
        </is>
      </c>
      <c r="P22" s="6" t="n"/>
      <c r="Q22" s="6" t="inlineStr">
        <is>
          <t>-</t>
        </is>
      </c>
    </row>
    <row r="23" ht="42" customHeight="1">
      <c r="A23" s="6" t="n">
        <v>17</v>
      </c>
      <c r="B23" s="6" t="inlineStr">
        <is>
          <t>8</t>
        </is>
      </c>
      <c r="C23" s="6" t="inlineStr"/>
      <c r="D23" s="6" t="inlineStr">
        <is>
          <t>WS1</t>
        </is>
      </c>
      <c r="E23" s="6" t="n">
        <v>1</v>
      </c>
      <c r="F23" s="6" t="inlineStr">
        <is>
          <t>Wheel Blaster Set (Wheel Cannon), SS Construction, includes Air Control Panel, Swivels, Rotors, Nozzles (Hexagon Shaped)</t>
        </is>
      </c>
      <c r="G23" s="6" t="inlineStr">
        <is>
          <t>-</t>
        </is>
      </c>
      <c r="H23" s="6" t="inlineStr">
        <is>
          <t>-</t>
        </is>
      </c>
      <c r="I23" s="6" t="inlineStr">
        <is>
          <t>-</t>
        </is>
      </c>
      <c r="J23" s="6" t="inlineStr">
        <is>
          <t>-</t>
        </is>
      </c>
      <c r="K23" s="6" t="inlineStr">
        <is>
          <t>-</t>
        </is>
      </c>
      <c r="L23" s="6" t="inlineStr">
        <is>
          <t>-</t>
        </is>
      </c>
      <c r="M23" s="6" t="inlineStr">
        <is>
          <t>-</t>
        </is>
      </c>
      <c r="N23" s="6" t="inlineStr">
        <is>
          <t>-</t>
        </is>
      </c>
      <c r="O23" s="6" t="inlineStr">
        <is>
          <t>-</t>
        </is>
      </c>
      <c r="P23" s="6" t="n"/>
      <c r="Q23" s="6" t="inlineStr">
        <is>
          <t>-</t>
        </is>
      </c>
    </row>
    <row r="24" ht="18" customHeight="1">
      <c r="A24" s="6" t="n">
        <v>18</v>
      </c>
      <c r="B24" s="6" t="inlineStr">
        <is>
          <t>8</t>
        </is>
      </c>
      <c r="C24" s="6" t="inlineStr">
        <is>
          <t>A</t>
        </is>
      </c>
      <c r="D24" s="6" t="inlineStr">
        <is>
          <t>WA1P</t>
        </is>
      </c>
      <c r="E24" s="6" t="n">
        <v>2</v>
      </c>
      <c r="F24" s="6" t="inlineStr">
        <is>
          <t>-AIR CONTROL PANEL</t>
        </is>
      </c>
      <c r="G24" s="6" t="inlineStr">
        <is>
          <t>-</t>
        </is>
      </c>
      <c r="H24" s="6" t="inlineStr">
        <is>
          <t>-</t>
        </is>
      </c>
      <c r="I24" s="6" t="inlineStr">
        <is>
          <t>-</t>
        </is>
      </c>
      <c r="J24" s="6" t="inlineStr">
        <is>
          <t>-</t>
        </is>
      </c>
      <c r="K24" s="6" t="inlineStr">
        <is>
          <t>-</t>
        </is>
      </c>
      <c r="L24" s="6" t="inlineStr">
        <is>
          <t>-</t>
        </is>
      </c>
      <c r="M24" s="6" t="inlineStr">
        <is>
          <t>-</t>
        </is>
      </c>
      <c r="N24" s="6" t="inlineStr">
        <is>
          <t>-</t>
        </is>
      </c>
      <c r="O24" s="6" t="inlineStr">
        <is>
          <t>-</t>
        </is>
      </c>
      <c r="P24" s="6" t="n"/>
      <c r="Q24" s="6" t="inlineStr">
        <is>
          <t>-</t>
        </is>
      </c>
    </row>
    <row r="25" ht="18" customHeight="1">
      <c r="A25" s="7" t="n">
        <v>19</v>
      </c>
      <c r="B25" s="7" t="inlineStr">
        <is>
          <t>8</t>
        </is>
      </c>
      <c r="C25" s="7" t="inlineStr">
        <is>
          <t>AA</t>
        </is>
      </c>
      <c r="D25" s="7" t="inlineStr">
        <is>
          <t>SOL</t>
        </is>
      </c>
      <c r="E25" s="7" t="n">
        <v>2</v>
      </c>
      <c r="F25" s="7" t="inlineStr">
        <is>
          <t>-SOLENOID VALVE</t>
        </is>
      </c>
      <c r="G25" s="7" t="inlineStr">
        <is>
          <t>-</t>
        </is>
      </c>
      <c r="H25" s="7" t="n">
        <v>1</v>
      </c>
      <c r="I25" s="7" t="n">
        <v>120</v>
      </c>
      <c r="J25" s="7" t="n">
        <v>0.25</v>
      </c>
      <c r="K25" s="7" t="inlineStr">
        <is>
          <t>-</t>
        </is>
      </c>
      <c r="L25" s="7" t="inlineStr">
        <is>
          <t>1/4 NPT</t>
        </is>
      </c>
      <c r="M25" s="7" t="inlineStr">
        <is>
          <t>-</t>
        </is>
      </c>
      <c r="N25" s="7" t="inlineStr">
        <is>
          <t>-</t>
        </is>
      </c>
      <c r="O25" s="7" t="inlineStr">
        <is>
          <t>-</t>
        </is>
      </c>
      <c r="P25" s="7" t="n"/>
      <c r="Q25" s="7" t="inlineStr">
        <is>
          <t>-</t>
        </is>
      </c>
    </row>
    <row r="26" ht="18" customHeight="1">
      <c r="A26" s="6" t="n">
        <v>20</v>
      </c>
      <c r="B26" s="6" t="inlineStr">
        <is>
          <t>8</t>
        </is>
      </c>
      <c r="C26" s="6" t="inlineStr">
        <is>
          <t>B</t>
        </is>
      </c>
      <c r="D26" s="6" t="inlineStr">
        <is>
          <t>PSH25</t>
        </is>
      </c>
      <c r="E26" s="6" t="n">
        <v>1</v>
      </c>
      <c r="F26" s="6" t="inlineStr">
        <is>
          <t>-SINGLE PUMPING STATION</t>
        </is>
      </c>
      <c r="G26" s="6" t="inlineStr">
        <is>
          <t>-</t>
        </is>
      </c>
      <c r="H26" s="6" t="inlineStr">
        <is>
          <t>-</t>
        </is>
      </c>
      <c r="I26" s="6" t="inlineStr">
        <is>
          <t>-</t>
        </is>
      </c>
      <c r="J26" s="6" t="inlineStr">
        <is>
          <t>-</t>
        </is>
      </c>
      <c r="K26" s="6" t="inlineStr">
        <is>
          <t>-</t>
        </is>
      </c>
      <c r="L26" s="6" t="inlineStr">
        <is>
          <t>-</t>
        </is>
      </c>
      <c r="M26" s="6" t="inlineStr">
        <is>
          <t>X</t>
        </is>
      </c>
      <c r="N26" s="6" t="inlineStr">
        <is>
          <t>-</t>
        </is>
      </c>
      <c r="O26" s="6" t="inlineStr">
        <is>
          <t>-</t>
        </is>
      </c>
      <c r="P26" s="6" t="n"/>
      <c r="Q26" s="6" t="inlineStr">
        <is>
          <t>-</t>
        </is>
      </c>
    </row>
    <row r="27" ht="18" customHeight="1">
      <c r="A27" s="7" t="n">
        <v>21</v>
      </c>
      <c r="B27" s="7" t="inlineStr">
        <is>
          <t>8</t>
        </is>
      </c>
      <c r="C27" s="7" t="inlineStr">
        <is>
          <t>BA</t>
        </is>
      </c>
      <c r="D27" s="7" t="inlineStr">
        <is>
          <t>M</t>
        </is>
      </c>
      <c r="E27" s="7" t="n">
        <v>4</v>
      </c>
      <c r="F27" s="7" t="inlineStr">
        <is>
          <t>-MOTOR</t>
        </is>
      </c>
      <c r="G27" s="7" t="n">
        <v>15</v>
      </c>
      <c r="H27" s="7" t="n">
        <v>3</v>
      </c>
      <c r="I27" s="7" t="n">
        <v>460</v>
      </c>
      <c r="J27" s="7" t="n">
        <v>17</v>
      </c>
      <c r="K27" s="7" t="inlineStr">
        <is>
          <t>-</t>
        </is>
      </c>
      <c r="L27" s="7" t="inlineStr">
        <is>
          <t>-</t>
        </is>
      </c>
      <c r="M27" s="7" t="inlineStr">
        <is>
          <t>-</t>
        </is>
      </c>
      <c r="N27" s="7" t="inlineStr">
        <is>
          <t>-</t>
        </is>
      </c>
      <c r="O27" s="7" t="inlineStr">
        <is>
          <t>-</t>
        </is>
      </c>
      <c r="P27" s="7" t="n"/>
      <c r="Q27" s="7" t="inlineStr">
        <is>
          <t>-</t>
        </is>
      </c>
    </row>
    <row r="28" ht="18" customHeight="1">
      <c r="A28" s="7" t="n">
        <v>22</v>
      </c>
      <c r="B28" s="7" t="inlineStr">
        <is>
          <t>8</t>
        </is>
      </c>
      <c r="C28" s="7" t="inlineStr">
        <is>
          <t>BB</t>
        </is>
      </c>
      <c r="D28" s="7" t="inlineStr">
        <is>
          <t>LLS</t>
        </is>
      </c>
      <c r="E28" s="7" t="n">
        <v>2</v>
      </c>
      <c r="F28" s="7" t="inlineStr">
        <is>
          <t>-LOW LEVEL SWITCH</t>
        </is>
      </c>
      <c r="G28" s="7" t="inlineStr">
        <is>
          <t>-</t>
        </is>
      </c>
      <c r="H28" s="7" t="n">
        <v>1</v>
      </c>
      <c r="I28" s="7" t="n">
        <v>120</v>
      </c>
      <c r="J28" s="7" t="n">
        <v>0.28</v>
      </c>
      <c r="K28" s="7" t="inlineStr">
        <is>
          <t>-</t>
        </is>
      </c>
      <c r="L28" s="7" t="inlineStr">
        <is>
          <t>-</t>
        </is>
      </c>
      <c r="M28" s="7" t="inlineStr">
        <is>
          <t>-</t>
        </is>
      </c>
      <c r="N28" s="7" t="inlineStr">
        <is>
          <t>-</t>
        </is>
      </c>
      <c r="O28" s="7" t="inlineStr">
        <is>
          <t>-</t>
        </is>
      </c>
      <c r="P28" s="7" t="n"/>
      <c r="Q28" s="7" t="inlineStr">
        <is>
          <t>-</t>
        </is>
      </c>
    </row>
    <row r="29" ht="18" customHeight="1">
      <c r="A29" s="6" t="n">
        <v>23</v>
      </c>
      <c r="B29" s="6" t="inlineStr">
        <is>
          <t>9</t>
        </is>
      </c>
      <c r="C29" s="6" t="inlineStr"/>
      <c r="D29" s="6" t="inlineStr">
        <is>
          <t>PS2H25</t>
        </is>
      </c>
      <c r="E29" s="6" t="n">
        <v>1</v>
      </c>
      <c r="F29" s="6" t="inlineStr">
        <is>
          <t>Double Stack Pumping Station 2 x 20gpm</t>
        </is>
      </c>
      <c r="G29" s="6" t="inlineStr">
        <is>
          <t>-</t>
        </is>
      </c>
      <c r="H29" s="6" t="inlineStr">
        <is>
          <t>-</t>
        </is>
      </c>
      <c r="I29" s="6" t="inlineStr">
        <is>
          <t>-</t>
        </is>
      </c>
      <c r="J29" s="6" t="inlineStr">
        <is>
          <t>-</t>
        </is>
      </c>
      <c r="K29" s="6" t="inlineStr">
        <is>
          <t>-</t>
        </is>
      </c>
      <c r="L29" s="6" t="inlineStr">
        <is>
          <t>-</t>
        </is>
      </c>
      <c r="M29" s="6" t="inlineStr">
        <is>
          <t>1"</t>
        </is>
      </c>
      <c r="N29" s="6" t="inlineStr">
        <is>
          <t>-</t>
        </is>
      </c>
      <c r="O29" s="6" t="inlineStr">
        <is>
          <t>-</t>
        </is>
      </c>
      <c r="P29" s="6" t="n"/>
      <c r="Q29" s="6" t="inlineStr">
        <is>
          <t>-</t>
        </is>
      </c>
    </row>
    <row r="30" ht="18" customHeight="1">
      <c r="A30" s="7" t="n">
        <v>24</v>
      </c>
      <c r="B30" s="7" t="inlineStr">
        <is>
          <t>9</t>
        </is>
      </c>
      <c r="C30" s="7" t="inlineStr">
        <is>
          <t>A</t>
        </is>
      </c>
      <c r="D30" s="7" t="inlineStr">
        <is>
          <t>M</t>
        </is>
      </c>
      <c r="E30" s="7" t="n">
        <v>5</v>
      </c>
      <c r="F30" s="7" t="inlineStr">
        <is>
          <t>-MOTOR</t>
        </is>
      </c>
      <c r="G30" s="7" t="n">
        <v>15</v>
      </c>
      <c r="H30" s="7" t="n">
        <v>3</v>
      </c>
      <c r="I30" s="7" t="n">
        <v>460</v>
      </c>
      <c r="J30" s="7" t="n">
        <v>17</v>
      </c>
      <c r="K30" s="7" t="inlineStr">
        <is>
          <t>-</t>
        </is>
      </c>
      <c r="L30" s="7" t="inlineStr">
        <is>
          <t>-</t>
        </is>
      </c>
      <c r="M30" s="7" t="inlineStr">
        <is>
          <t>-</t>
        </is>
      </c>
      <c r="N30" s="7" t="inlineStr">
        <is>
          <t>-</t>
        </is>
      </c>
      <c r="O30" s="7" t="inlineStr">
        <is>
          <t>-</t>
        </is>
      </c>
      <c r="P30" s="7" t="n"/>
      <c r="Q30" s="7" t="inlineStr">
        <is>
          <t>-</t>
        </is>
      </c>
    </row>
    <row r="31" ht="18" customHeight="1">
      <c r="A31" s="7" t="n">
        <v>25</v>
      </c>
      <c r="B31" s="7" t="inlineStr">
        <is>
          <t>9</t>
        </is>
      </c>
      <c r="C31" s="7" t="inlineStr">
        <is>
          <t>B</t>
        </is>
      </c>
      <c r="D31" s="7" t="inlineStr">
        <is>
          <t>M</t>
        </is>
      </c>
      <c r="E31" s="7" t="n">
        <v>6</v>
      </c>
      <c r="F31" s="7" t="inlineStr">
        <is>
          <t>-MOTOR</t>
        </is>
      </c>
      <c r="G31" s="7" t="n">
        <v>15</v>
      </c>
      <c r="H31" s="7" t="n">
        <v>3</v>
      </c>
      <c r="I31" s="7" t="n">
        <v>460</v>
      </c>
      <c r="J31" s="7" t="n">
        <v>17</v>
      </c>
      <c r="K31" s="7" t="inlineStr">
        <is>
          <t>-</t>
        </is>
      </c>
      <c r="L31" s="7" t="inlineStr">
        <is>
          <t>-</t>
        </is>
      </c>
      <c r="M31" s="7" t="inlineStr">
        <is>
          <t>-</t>
        </is>
      </c>
      <c r="N31" s="7" t="inlineStr">
        <is>
          <t>-</t>
        </is>
      </c>
      <c r="O31" s="7" t="inlineStr">
        <is>
          <t>-</t>
        </is>
      </c>
      <c r="P31" s="7" t="n"/>
      <c r="Q31" s="7" t="inlineStr">
        <is>
          <t>-</t>
        </is>
      </c>
    </row>
    <row r="32" ht="18" customHeight="1">
      <c r="A32" s="7" t="n">
        <v>26</v>
      </c>
      <c r="B32" s="7" t="inlineStr">
        <is>
          <t>9</t>
        </is>
      </c>
      <c r="C32" s="7" t="inlineStr">
        <is>
          <t>C</t>
        </is>
      </c>
      <c r="D32" s="7" t="inlineStr">
        <is>
          <t>LLS</t>
        </is>
      </c>
      <c r="E32" s="7" t="n">
        <v>3</v>
      </c>
      <c r="F32" s="7" t="inlineStr">
        <is>
          <t>-LOW LEVEL SWITCH</t>
        </is>
      </c>
      <c r="G32" s="7" t="inlineStr">
        <is>
          <t>-</t>
        </is>
      </c>
      <c r="H32" s="7" t="n">
        <v>1</v>
      </c>
      <c r="I32" s="7" t="n">
        <v>120</v>
      </c>
      <c r="J32" s="7" t="n">
        <v>0.28</v>
      </c>
      <c r="K32" s="7" t="inlineStr">
        <is>
          <t>-</t>
        </is>
      </c>
      <c r="L32" s="7" t="inlineStr">
        <is>
          <t>-</t>
        </is>
      </c>
      <c r="M32" s="7" t="inlineStr">
        <is>
          <t>-</t>
        </is>
      </c>
      <c r="N32" s="7" t="inlineStr">
        <is>
          <t>-</t>
        </is>
      </c>
      <c r="O32" s="7" t="inlineStr">
        <is>
          <t>-</t>
        </is>
      </c>
      <c r="P32" s="7" t="n"/>
      <c r="Q32" s="7" t="inlineStr">
        <is>
          <t>-</t>
        </is>
      </c>
    </row>
    <row r="33" ht="28" customHeight="1">
      <c r="A33" s="6" t="n">
        <v>27</v>
      </c>
      <c r="B33" s="6" t="inlineStr">
        <is>
          <t>10</t>
        </is>
      </c>
      <c r="C33" s="6" t="inlineStr"/>
      <c r="D33" s="6" t="inlineStr">
        <is>
          <t>PSH25</t>
        </is>
      </c>
      <c r="E33" s="6" t="n">
        <v>2</v>
      </c>
      <c r="F33" s="6" t="inlineStr">
        <is>
          <t>Single Pumping Station, 20gpm, Includes PS2-VIB-KIT-1224</t>
        </is>
      </c>
      <c r="G33" s="6" t="inlineStr">
        <is>
          <t>-</t>
        </is>
      </c>
      <c r="H33" s="6" t="inlineStr">
        <is>
          <t>-</t>
        </is>
      </c>
      <c r="I33" s="6" t="inlineStr">
        <is>
          <t>-</t>
        </is>
      </c>
      <c r="J33" s="6" t="inlineStr">
        <is>
          <t>-</t>
        </is>
      </c>
      <c r="K33" s="6" t="inlineStr">
        <is>
          <t>-</t>
        </is>
      </c>
      <c r="L33" s="6" t="inlineStr">
        <is>
          <t>-</t>
        </is>
      </c>
      <c r="M33" s="6" t="inlineStr">
        <is>
          <t>1"</t>
        </is>
      </c>
      <c r="N33" s="6" t="inlineStr">
        <is>
          <t>-</t>
        </is>
      </c>
      <c r="O33" s="6" t="inlineStr">
        <is>
          <t>-</t>
        </is>
      </c>
      <c r="P33" s="6" t="n"/>
      <c r="Q33" s="6" t="inlineStr">
        <is>
          <t>-</t>
        </is>
      </c>
    </row>
    <row r="34" ht="18" customHeight="1">
      <c r="A34" s="7" t="n">
        <v>28</v>
      </c>
      <c r="B34" s="7" t="inlineStr">
        <is>
          <t>10</t>
        </is>
      </c>
      <c r="C34" s="7" t="inlineStr">
        <is>
          <t>A</t>
        </is>
      </c>
      <c r="D34" s="7" t="inlineStr">
        <is>
          <t>M</t>
        </is>
      </c>
      <c r="E34" s="7" t="n">
        <v>7</v>
      </c>
      <c r="F34" s="7" t="inlineStr">
        <is>
          <t>-MOTOR</t>
        </is>
      </c>
      <c r="G34" s="7" t="n">
        <v>15</v>
      </c>
      <c r="H34" s="7" t="n">
        <v>3</v>
      </c>
      <c r="I34" s="7" t="n">
        <v>460</v>
      </c>
      <c r="J34" s="7" t="n">
        <v>17</v>
      </c>
      <c r="K34" s="7" t="inlineStr">
        <is>
          <t>-</t>
        </is>
      </c>
      <c r="L34" s="7" t="inlineStr">
        <is>
          <t>-</t>
        </is>
      </c>
      <c r="M34" s="7" t="inlineStr">
        <is>
          <t>-</t>
        </is>
      </c>
      <c r="N34" s="7" t="inlineStr">
        <is>
          <t>-</t>
        </is>
      </c>
      <c r="O34" s="7" t="inlineStr">
        <is>
          <t>-</t>
        </is>
      </c>
      <c r="P34" s="7" t="n"/>
      <c r="Q34" s="7" t="inlineStr">
        <is>
          <t>-</t>
        </is>
      </c>
    </row>
    <row r="35" ht="18" customHeight="1">
      <c r="A35" s="7" t="n">
        <v>29</v>
      </c>
      <c r="B35" s="7" t="inlineStr">
        <is>
          <t>10</t>
        </is>
      </c>
      <c r="C35" s="7" t="inlineStr">
        <is>
          <t>B</t>
        </is>
      </c>
      <c r="D35" s="7" t="inlineStr">
        <is>
          <t>LLS</t>
        </is>
      </c>
      <c r="E35" s="7" t="n">
        <v>4</v>
      </c>
      <c r="F35" s="7" t="inlineStr">
        <is>
          <t>-LOW LEVEL SWITCH</t>
        </is>
      </c>
      <c r="G35" s="7" t="inlineStr">
        <is>
          <t>-</t>
        </is>
      </c>
      <c r="H35" s="7" t="n">
        <v>1</v>
      </c>
      <c r="I35" s="7" t="n">
        <v>120</v>
      </c>
      <c r="J35" s="7" t="n">
        <v>0.28</v>
      </c>
      <c r="K35" s="7" t="inlineStr">
        <is>
          <t>-</t>
        </is>
      </c>
      <c r="L35" s="7" t="inlineStr">
        <is>
          <t>-</t>
        </is>
      </c>
      <c r="M35" s="7" t="inlineStr">
        <is>
          <t>-</t>
        </is>
      </c>
      <c r="N35" s="7" t="inlineStr">
        <is>
          <t>-</t>
        </is>
      </c>
      <c r="O35" s="7" t="inlineStr">
        <is>
          <t>-</t>
        </is>
      </c>
      <c r="P35" s="7" t="n"/>
      <c r="Q35" s="7" t="inlineStr">
        <is>
          <t>-</t>
        </is>
      </c>
    </row>
    <row r="36" ht="18" customHeight="1">
      <c r="A36" s="6" t="n">
        <v>30</v>
      </c>
      <c r="B36" s="6" t="inlineStr">
        <is>
          <t>11</t>
        </is>
      </c>
      <c r="C36" s="6" t="inlineStr"/>
      <c r="D36" s="6" t="inlineStr">
        <is>
          <t>BWA1</t>
        </is>
      </c>
      <c r="E36" s="6" t="n">
        <v>1</v>
      </c>
      <c r="F36" s="6" t="inlineStr">
        <is>
          <t>Glass Block Archway-Straight Sides, Arched Top</t>
        </is>
      </c>
      <c r="G36" s="6" t="inlineStr">
        <is>
          <t>-</t>
        </is>
      </c>
      <c r="H36" s="6" t="inlineStr">
        <is>
          <t>-</t>
        </is>
      </c>
      <c r="I36" s="6" t="inlineStr">
        <is>
          <t>-</t>
        </is>
      </c>
      <c r="J36" s="6" t="inlineStr">
        <is>
          <t>-</t>
        </is>
      </c>
      <c r="K36" s="6" t="inlineStr">
        <is>
          <t>-</t>
        </is>
      </c>
      <c r="L36" s="6" t="inlineStr">
        <is>
          <t>-</t>
        </is>
      </c>
      <c r="M36" s="6" t="inlineStr">
        <is>
          <t>-</t>
        </is>
      </c>
      <c r="N36" s="6" t="inlineStr">
        <is>
          <t>-</t>
        </is>
      </c>
      <c r="O36" s="6" t="inlineStr">
        <is>
          <t>-</t>
        </is>
      </c>
      <c r="P36" s="6" t="n"/>
      <c r="Q36" s="6" t="inlineStr">
        <is>
          <t>-</t>
        </is>
      </c>
    </row>
    <row r="37" ht="70" customHeight="1">
      <c r="A37" s="6" t="n">
        <v>31</v>
      </c>
      <c r="B37" s="6" t="inlineStr">
        <is>
          <t>12</t>
        </is>
      </c>
      <c r="C37" s="6" t="inlineStr"/>
      <c r="D37" s="6" t="inlineStr">
        <is>
          <t>VA5129A-1</t>
        </is>
      </c>
      <c r="E37" s="6" t="n">
        <v>1</v>
      </c>
      <c r="F37" s="6" t="inlineStr">
        <is>
          <t>Single Vacuum Canopy Arch, 5" Round Post, Shallow-curved Gusseted Arch with Tabs to Attach Canopy, Single Hose Connection at Arch End, 11-3/4" Base Plate, Polished SS, (No Separator, Vac Canister, Canopy, Tool Holder or Hose), Includes (1) FNPT Elbow</t>
        </is>
      </c>
      <c r="G37" s="6" t="inlineStr">
        <is>
          <t>-</t>
        </is>
      </c>
      <c r="H37" s="6" t="inlineStr">
        <is>
          <t>-</t>
        </is>
      </c>
      <c r="I37" s="6" t="inlineStr">
        <is>
          <t>-</t>
        </is>
      </c>
      <c r="J37" s="6" t="inlineStr">
        <is>
          <t>-</t>
        </is>
      </c>
      <c r="K37" s="6" t="inlineStr">
        <is>
          <t>-</t>
        </is>
      </c>
      <c r="L37" s="6" t="inlineStr">
        <is>
          <t>-</t>
        </is>
      </c>
      <c r="M37" s="6" t="inlineStr">
        <is>
          <t>-</t>
        </is>
      </c>
      <c r="N37" s="6" t="inlineStr">
        <is>
          <t>-</t>
        </is>
      </c>
      <c r="O37" s="6" t="inlineStr">
        <is>
          <t>-</t>
        </is>
      </c>
      <c r="P37" s="6" t="n"/>
      <c r="Q37" s="6" t="inlineStr">
        <is>
          <t>-</t>
        </is>
      </c>
    </row>
    <row r="38" ht="18" customHeight="1">
      <c r="A38" s="6" t="n">
        <v>32</v>
      </c>
      <c r="B38" s="6" t="inlineStr">
        <is>
          <t>12</t>
        </is>
      </c>
      <c r="C38" s="6" t="inlineStr">
        <is>
          <t>A</t>
        </is>
      </c>
      <c r="D38" s="6" t="inlineStr">
        <is>
          <t>VA3875C</t>
        </is>
      </c>
      <c r="E38" s="6" t="n">
        <v>1</v>
      </c>
      <c r="F38" s="6" t="inlineStr">
        <is>
          <t>CANISTER</t>
        </is>
      </c>
      <c r="G38" s="6" t="inlineStr">
        <is>
          <t>-</t>
        </is>
      </c>
      <c r="H38" s="6" t="n">
        <v>1</v>
      </c>
      <c r="I38" s="6" t="n">
        <v>120</v>
      </c>
      <c r="J38" s="6" t="inlineStr">
        <is>
          <t>-</t>
        </is>
      </c>
      <c r="K38" s="6" t="inlineStr">
        <is>
          <t>-</t>
        </is>
      </c>
      <c r="L38" s="6" t="inlineStr">
        <is>
          <t>-</t>
        </is>
      </c>
      <c r="M38" s="6" t="inlineStr">
        <is>
          <t>-</t>
        </is>
      </c>
      <c r="N38" s="6" t="inlineStr">
        <is>
          <t>-</t>
        </is>
      </c>
      <c r="O38" s="6" t="inlineStr">
        <is>
          <t>-</t>
        </is>
      </c>
      <c r="P38" s="6" t="n"/>
      <c r="Q38" s="6" t="inlineStr">
        <is>
          <t>-</t>
        </is>
      </c>
    </row>
    <row r="39" ht="18" customHeight="1">
      <c r="A39" s="7" t="n">
        <v>33</v>
      </c>
      <c r="B39" s="7" t="inlineStr">
        <is>
          <t>12</t>
        </is>
      </c>
      <c r="C39" s="7" t="inlineStr">
        <is>
          <t>AA</t>
        </is>
      </c>
      <c r="D39" s="7" t="inlineStr">
        <is>
          <t>M-.858</t>
        </is>
      </c>
      <c r="E39" s="7" t="n">
        <v>8</v>
      </c>
      <c r="F39" s="7" t="inlineStr">
        <is>
          <t>-MOTOR</t>
        </is>
      </c>
      <c r="G39" s="7" t="n">
        <v>0.858</v>
      </c>
      <c r="H39" s="7" t="n">
        <v>1</v>
      </c>
      <c r="I39" s="7" t="n">
        <v>120</v>
      </c>
      <c r="J39" s="7" t="n">
        <v>4</v>
      </c>
      <c r="K39" s="7" t="inlineStr">
        <is>
          <t>-</t>
        </is>
      </c>
      <c r="L39" s="7" t="inlineStr">
        <is>
          <t>-</t>
        </is>
      </c>
      <c r="M39" s="7" t="inlineStr">
        <is>
          <t>-</t>
        </is>
      </c>
      <c r="N39" s="7" t="inlineStr">
        <is>
          <t>-</t>
        </is>
      </c>
      <c r="O39" s="7" t="inlineStr">
        <is>
          <t>-</t>
        </is>
      </c>
      <c r="P39" s="7" t="n"/>
      <c r="Q39" s="7" t="inlineStr">
        <is>
          <t>-</t>
        </is>
      </c>
    </row>
    <row r="40" ht="70" customHeight="1">
      <c r="A40" s="6" t="n">
        <v>34</v>
      </c>
      <c r="B40" s="6" t="inlineStr">
        <is>
          <t>13</t>
        </is>
      </c>
      <c r="C40" s="6" t="inlineStr"/>
      <c r="D40" s="6" t="inlineStr">
        <is>
          <t>VA5129A-1</t>
        </is>
      </c>
      <c r="E40" s="6" t="n">
        <v>2</v>
      </c>
      <c r="F40" s="6" t="inlineStr">
        <is>
          <t>Single Vacuum Canopy Arch, 5" Round Post, Shallow-curved Gusseted Arch with Tabs to Attach Canopy, Single Hose Connection at Arch End, 11-3/4" Base Plate, Polished SS, (No Separator, Vac Canister, Canopy, Tool Holder or Hose), Includes (1) FNPT Elbow</t>
        </is>
      </c>
      <c r="G40" s="6" t="inlineStr">
        <is>
          <t>-</t>
        </is>
      </c>
      <c r="H40" s="6" t="inlineStr">
        <is>
          <t>-</t>
        </is>
      </c>
      <c r="I40" s="6" t="inlineStr">
        <is>
          <t>-</t>
        </is>
      </c>
      <c r="J40" s="6" t="inlineStr">
        <is>
          <t>-</t>
        </is>
      </c>
      <c r="K40" s="6" t="inlineStr">
        <is>
          <t>-</t>
        </is>
      </c>
      <c r="L40" s="6" t="inlineStr">
        <is>
          <t>-</t>
        </is>
      </c>
      <c r="M40" s="6" t="inlineStr">
        <is>
          <t>-</t>
        </is>
      </c>
      <c r="N40" s="6" t="inlineStr">
        <is>
          <t>-</t>
        </is>
      </c>
      <c r="O40" s="6" t="inlineStr">
        <is>
          <t>-</t>
        </is>
      </c>
      <c r="P40" s="6" t="n"/>
      <c r="Q40" s="6" t="inlineStr">
        <is>
          <t>-</t>
        </is>
      </c>
    </row>
    <row r="41" ht="18" customHeight="1">
      <c r="A41" s="6" t="n">
        <v>35</v>
      </c>
      <c r="B41" s="6" t="inlineStr">
        <is>
          <t>13</t>
        </is>
      </c>
      <c r="C41" s="6" t="inlineStr">
        <is>
          <t>A</t>
        </is>
      </c>
      <c r="D41" s="6" t="inlineStr">
        <is>
          <t>VA3875C</t>
        </is>
      </c>
      <c r="E41" s="6" t="n">
        <v>2</v>
      </c>
      <c r="F41" s="6" t="inlineStr">
        <is>
          <t>CANISTER</t>
        </is>
      </c>
      <c r="G41" s="6" t="inlineStr">
        <is>
          <t>-</t>
        </is>
      </c>
      <c r="H41" s="6" t="n">
        <v>1</v>
      </c>
      <c r="I41" s="6" t="n">
        <v>120</v>
      </c>
      <c r="J41" s="6" t="inlineStr">
        <is>
          <t>-</t>
        </is>
      </c>
      <c r="K41" s="6" t="inlineStr">
        <is>
          <t>-</t>
        </is>
      </c>
      <c r="L41" s="6" t="inlineStr">
        <is>
          <t>-</t>
        </is>
      </c>
      <c r="M41" s="6" t="inlineStr">
        <is>
          <t>-</t>
        </is>
      </c>
      <c r="N41" s="6" t="inlineStr">
        <is>
          <t>-</t>
        </is>
      </c>
      <c r="O41" s="6" t="inlineStr">
        <is>
          <t>-</t>
        </is>
      </c>
      <c r="P41" s="6" t="n"/>
      <c r="Q41" s="6" t="inlineStr">
        <is>
          <t>-</t>
        </is>
      </c>
    </row>
    <row r="42" ht="18" customHeight="1">
      <c r="A42" s="7" t="n">
        <v>36</v>
      </c>
      <c r="B42" s="7" t="inlineStr">
        <is>
          <t>13</t>
        </is>
      </c>
      <c r="C42" s="7" t="inlineStr">
        <is>
          <t>AA</t>
        </is>
      </c>
      <c r="D42" s="7" t="inlineStr">
        <is>
          <t>M-.858</t>
        </is>
      </c>
      <c r="E42" s="7" t="n">
        <v>9</v>
      </c>
      <c r="F42" s="7" t="inlineStr">
        <is>
          <t>-MOTOR</t>
        </is>
      </c>
      <c r="G42" s="7" t="n">
        <v>0.858</v>
      </c>
      <c r="H42" s="7" t="n">
        <v>1</v>
      </c>
      <c r="I42" s="7" t="n">
        <v>120</v>
      </c>
      <c r="J42" s="7" t="n">
        <v>4</v>
      </c>
      <c r="K42" s="7" t="inlineStr">
        <is>
          <t>-</t>
        </is>
      </c>
      <c r="L42" s="7" t="inlineStr">
        <is>
          <t>-</t>
        </is>
      </c>
      <c r="M42" s="7" t="inlineStr">
        <is>
          <t>-</t>
        </is>
      </c>
      <c r="N42" s="7" t="inlineStr">
        <is>
          <t>-</t>
        </is>
      </c>
      <c r="O42" s="7" t="inlineStr">
        <is>
          <t>-</t>
        </is>
      </c>
      <c r="P42" s="7" t="n"/>
      <c r="Q42" s="7" t="inlineStr">
        <is>
          <t>-</t>
        </is>
      </c>
    </row>
    <row r="43" ht="70" customHeight="1">
      <c r="A43" s="6" t="n">
        <v>37</v>
      </c>
      <c r="B43" s="6" t="inlineStr">
        <is>
          <t>14</t>
        </is>
      </c>
      <c r="C43" s="6" t="inlineStr"/>
      <c r="D43" s="6" t="inlineStr">
        <is>
          <t>VA5129A-1</t>
        </is>
      </c>
      <c r="E43" s="6" t="n">
        <v>3</v>
      </c>
      <c r="F43" s="6" t="inlineStr">
        <is>
          <t>Single Vacuum Canopy Arch, 5" Round Post, Shallow-curved Gusseted Arch with Tabs to Attach Canopy, Single Hose Connection at Arch End, 11-3/4" Base Plate, Polished SS, (No Separator, Vac Canister, Canopy, Tool Holder or Hose), Includes (1) FNPT Elbow</t>
        </is>
      </c>
      <c r="G43" s="6" t="inlineStr">
        <is>
          <t>-</t>
        </is>
      </c>
      <c r="H43" s="6" t="inlineStr">
        <is>
          <t>-</t>
        </is>
      </c>
      <c r="I43" s="6" t="inlineStr">
        <is>
          <t>-</t>
        </is>
      </c>
      <c r="J43" s="6" t="inlineStr">
        <is>
          <t>-</t>
        </is>
      </c>
      <c r="K43" s="6" t="inlineStr">
        <is>
          <t>-</t>
        </is>
      </c>
      <c r="L43" s="6" t="inlineStr">
        <is>
          <t>-</t>
        </is>
      </c>
      <c r="M43" s="6" t="inlineStr">
        <is>
          <t>-</t>
        </is>
      </c>
      <c r="N43" s="6" t="inlineStr">
        <is>
          <t>-</t>
        </is>
      </c>
      <c r="O43" s="6" t="inlineStr">
        <is>
          <t>-</t>
        </is>
      </c>
      <c r="P43" s="6" t="n"/>
      <c r="Q43" s="6" t="inlineStr">
        <is>
          <t>-</t>
        </is>
      </c>
    </row>
    <row r="44" ht="18" customHeight="1">
      <c r="A44" s="6" t="n">
        <v>38</v>
      </c>
      <c r="B44" s="6" t="inlineStr">
        <is>
          <t>14</t>
        </is>
      </c>
      <c r="C44" s="6" t="inlineStr">
        <is>
          <t>A</t>
        </is>
      </c>
      <c r="D44" s="6" t="inlineStr">
        <is>
          <t>VA3875C</t>
        </is>
      </c>
      <c r="E44" s="6" t="n">
        <v>3</v>
      </c>
      <c r="F44" s="6" t="inlineStr">
        <is>
          <t>CANISTER</t>
        </is>
      </c>
      <c r="G44" s="6" t="inlineStr">
        <is>
          <t>-</t>
        </is>
      </c>
      <c r="H44" s="6" t="n">
        <v>1</v>
      </c>
      <c r="I44" s="6" t="n">
        <v>120</v>
      </c>
      <c r="J44" s="6" t="inlineStr">
        <is>
          <t>-</t>
        </is>
      </c>
      <c r="K44" s="6" t="inlineStr">
        <is>
          <t>-</t>
        </is>
      </c>
      <c r="L44" s="6" t="inlineStr">
        <is>
          <t>-</t>
        </is>
      </c>
      <c r="M44" s="6" t="inlineStr">
        <is>
          <t>-</t>
        </is>
      </c>
      <c r="N44" s="6" t="inlineStr">
        <is>
          <t>-</t>
        </is>
      </c>
      <c r="O44" s="6" t="inlineStr">
        <is>
          <t>-</t>
        </is>
      </c>
      <c r="P44" s="6" t="n"/>
      <c r="Q44" s="6" t="inlineStr">
        <is>
          <t>-</t>
        </is>
      </c>
    </row>
    <row r="45" ht="18" customHeight="1">
      <c r="A45" s="7" t="n">
        <v>39</v>
      </c>
      <c r="B45" s="7" t="inlineStr">
        <is>
          <t>14</t>
        </is>
      </c>
      <c r="C45" s="7" t="inlineStr">
        <is>
          <t>AA</t>
        </is>
      </c>
      <c r="D45" s="7" t="inlineStr">
        <is>
          <t>M-.858</t>
        </is>
      </c>
      <c r="E45" s="7" t="n">
        <v>10</v>
      </c>
      <c r="F45" s="7" t="inlineStr">
        <is>
          <t>-MOTOR</t>
        </is>
      </c>
      <c r="G45" s="7" t="n">
        <v>0.858</v>
      </c>
      <c r="H45" s="7" t="n">
        <v>1</v>
      </c>
      <c r="I45" s="7" t="n">
        <v>120</v>
      </c>
      <c r="J45" s="7" t="n">
        <v>4</v>
      </c>
      <c r="K45" s="7" t="inlineStr">
        <is>
          <t>-</t>
        </is>
      </c>
      <c r="L45" s="7" t="inlineStr">
        <is>
          <t>-</t>
        </is>
      </c>
      <c r="M45" s="7" t="inlineStr">
        <is>
          <t>-</t>
        </is>
      </c>
      <c r="N45" s="7" t="inlineStr">
        <is>
          <t>-</t>
        </is>
      </c>
      <c r="O45" s="7" t="inlineStr">
        <is>
          <t>-</t>
        </is>
      </c>
      <c r="P45" s="7" t="n"/>
      <c r="Q45" s="7" t="inlineStr">
        <is>
          <t>-</t>
        </is>
      </c>
    </row>
    <row r="46" ht="70" customHeight="1">
      <c r="A46" s="6" t="n">
        <v>40</v>
      </c>
      <c r="B46" s="6" t="inlineStr">
        <is>
          <t>15</t>
        </is>
      </c>
      <c r="C46" s="6" t="inlineStr"/>
      <c r="D46" s="6" t="inlineStr">
        <is>
          <t>VA5129A-1</t>
        </is>
      </c>
      <c r="E46" s="6" t="n">
        <v>4</v>
      </c>
      <c r="F46" s="6" t="inlineStr">
        <is>
          <t>Single Vacuum Canopy Arch, 5" Round Post, Shallow-curved Gusseted Arch with Tabs to Attach Canopy, Single Hose Connection at Arch End, 11-3/4" Base Plate, Polished SS, (No Separator, Vac Canister, Canopy, Tool Holder or Hose), Includes (1) FNPT Elbow</t>
        </is>
      </c>
      <c r="G46" s="6" t="inlineStr">
        <is>
          <t>-</t>
        </is>
      </c>
      <c r="H46" s="6" t="inlineStr">
        <is>
          <t>-</t>
        </is>
      </c>
      <c r="I46" s="6" t="inlineStr">
        <is>
          <t>-</t>
        </is>
      </c>
      <c r="J46" s="6" t="inlineStr">
        <is>
          <t>-</t>
        </is>
      </c>
      <c r="K46" s="6" t="inlineStr">
        <is>
          <t>-</t>
        </is>
      </c>
      <c r="L46" s="6" t="inlineStr">
        <is>
          <t>-</t>
        </is>
      </c>
      <c r="M46" s="6" t="inlineStr">
        <is>
          <t>-</t>
        </is>
      </c>
      <c r="N46" s="6" t="inlineStr">
        <is>
          <t>-</t>
        </is>
      </c>
      <c r="O46" s="6" t="inlineStr">
        <is>
          <t>-</t>
        </is>
      </c>
      <c r="P46" s="6" t="n"/>
      <c r="Q46" s="6" t="inlineStr">
        <is>
          <t>-</t>
        </is>
      </c>
    </row>
    <row r="47" ht="18" customHeight="1">
      <c r="A47" s="6" t="n">
        <v>41</v>
      </c>
      <c r="B47" s="6" t="inlineStr">
        <is>
          <t>15</t>
        </is>
      </c>
      <c r="C47" s="6" t="inlineStr">
        <is>
          <t>A</t>
        </is>
      </c>
      <c r="D47" s="6" t="inlineStr">
        <is>
          <t>VA3875C</t>
        </is>
      </c>
      <c r="E47" s="6" t="n">
        <v>4</v>
      </c>
      <c r="F47" s="6" t="inlineStr">
        <is>
          <t>CANISTER</t>
        </is>
      </c>
      <c r="G47" s="6" t="inlineStr">
        <is>
          <t>-</t>
        </is>
      </c>
      <c r="H47" s="6" t="n">
        <v>1</v>
      </c>
      <c r="I47" s="6" t="n">
        <v>120</v>
      </c>
      <c r="J47" s="6" t="inlineStr">
        <is>
          <t>-</t>
        </is>
      </c>
      <c r="K47" s="6" t="inlineStr">
        <is>
          <t>-</t>
        </is>
      </c>
      <c r="L47" s="6" t="inlineStr">
        <is>
          <t>-</t>
        </is>
      </c>
      <c r="M47" s="6" t="inlineStr">
        <is>
          <t>-</t>
        </is>
      </c>
      <c r="N47" s="6" t="inlineStr">
        <is>
          <t>-</t>
        </is>
      </c>
      <c r="O47" s="6" t="inlineStr">
        <is>
          <t>-</t>
        </is>
      </c>
      <c r="P47" s="6" t="n"/>
      <c r="Q47" s="6" t="inlineStr">
        <is>
          <t>-</t>
        </is>
      </c>
    </row>
    <row r="48" ht="18" customHeight="1">
      <c r="A48" s="7" t="n">
        <v>42</v>
      </c>
      <c r="B48" s="7" t="inlineStr">
        <is>
          <t>15</t>
        </is>
      </c>
      <c r="C48" s="7" t="inlineStr">
        <is>
          <t>AA</t>
        </is>
      </c>
      <c r="D48" s="7" t="inlineStr">
        <is>
          <t>M-.858</t>
        </is>
      </c>
      <c r="E48" s="7" t="n">
        <v>11</v>
      </c>
      <c r="F48" s="7" t="inlineStr">
        <is>
          <t>-MOTOR</t>
        </is>
      </c>
      <c r="G48" s="7" t="n">
        <v>0.858</v>
      </c>
      <c r="H48" s="7" t="n">
        <v>1</v>
      </c>
      <c r="I48" s="7" t="n">
        <v>120</v>
      </c>
      <c r="J48" s="7" t="n">
        <v>4</v>
      </c>
      <c r="K48" s="7" t="inlineStr">
        <is>
          <t>-</t>
        </is>
      </c>
      <c r="L48" s="7" t="inlineStr">
        <is>
          <t>-</t>
        </is>
      </c>
      <c r="M48" s="7" t="inlineStr">
        <is>
          <t>-</t>
        </is>
      </c>
      <c r="N48" s="7" t="inlineStr">
        <is>
          <t>-</t>
        </is>
      </c>
      <c r="O48" s="7" t="inlineStr">
        <is>
          <t>-</t>
        </is>
      </c>
      <c r="P48" s="7" t="n"/>
      <c r="Q48" s="7" t="inlineStr">
        <is>
          <t>-</t>
        </is>
      </c>
    </row>
    <row r="49" ht="18" customHeight="1">
      <c r="A49" s="6" t="n">
        <v>43</v>
      </c>
      <c r="B49" s="6" t="inlineStr">
        <is>
          <t>16</t>
        </is>
      </c>
      <c r="C49" s="6" t="inlineStr"/>
      <c r="D49" s="6" t="inlineStr">
        <is>
          <t>VA3246S</t>
        </is>
      </c>
      <c r="E49" s="6" t="n">
        <v>1</v>
      </c>
      <c r="F49" s="6" t="inlineStr">
        <is>
          <t>-SEPARATOR</t>
        </is>
      </c>
      <c r="G49" s="6" t="inlineStr">
        <is>
          <t>-</t>
        </is>
      </c>
      <c r="H49" s="6" t="n">
        <v>1</v>
      </c>
      <c r="I49" s="6" t="n">
        <v>120</v>
      </c>
      <c r="J49" s="6" t="inlineStr">
        <is>
          <t>-</t>
        </is>
      </c>
      <c r="K49" s="6" t="inlineStr">
        <is>
          <t>-</t>
        </is>
      </c>
      <c r="L49" s="6" t="inlineStr">
        <is>
          <t>-</t>
        </is>
      </c>
      <c r="M49" s="6" t="inlineStr">
        <is>
          <t>-</t>
        </is>
      </c>
      <c r="N49" s="6" t="inlineStr">
        <is>
          <t>-</t>
        </is>
      </c>
      <c r="O49" s="6" t="inlineStr">
        <is>
          <t>-</t>
        </is>
      </c>
      <c r="P49" s="6" t="n"/>
      <c r="Q49" s="6" t="inlineStr">
        <is>
          <t>-</t>
        </is>
      </c>
    </row>
    <row r="50" ht="18" customHeight="1">
      <c r="A50" s="6" t="n">
        <v>44</v>
      </c>
      <c r="B50" s="6" t="inlineStr">
        <is>
          <t>17</t>
        </is>
      </c>
      <c r="C50" s="6" t="inlineStr"/>
      <c r="D50" s="6" t="inlineStr">
        <is>
          <t>VA3246S</t>
        </is>
      </c>
      <c r="E50" s="6" t="n">
        <v>2</v>
      </c>
      <c r="F50" s="6" t="inlineStr">
        <is>
          <t>-SEPARATOR</t>
        </is>
      </c>
      <c r="G50" s="6" t="inlineStr">
        <is>
          <t>-</t>
        </is>
      </c>
      <c r="H50" s="6" t="n">
        <v>1</v>
      </c>
      <c r="I50" s="6" t="n">
        <v>120</v>
      </c>
      <c r="J50" s="6" t="inlineStr">
        <is>
          <t>-</t>
        </is>
      </c>
      <c r="K50" s="6" t="inlineStr">
        <is>
          <t>-</t>
        </is>
      </c>
      <c r="L50" s="6" t="inlineStr">
        <is>
          <t>-</t>
        </is>
      </c>
      <c r="M50" s="6" t="inlineStr">
        <is>
          <t>-</t>
        </is>
      </c>
      <c r="N50" s="6" t="inlineStr">
        <is>
          <t>-</t>
        </is>
      </c>
      <c r="O50" s="6" t="inlineStr">
        <is>
          <t>-</t>
        </is>
      </c>
      <c r="P50" s="6" t="n"/>
      <c r="Q50" s="6" t="inlineStr">
        <is>
          <t>-</t>
        </is>
      </c>
    </row>
    <row r="51" ht="18" customHeight="1">
      <c r="A51" s="6" t="n">
        <v>45</v>
      </c>
      <c r="B51" s="6" t="inlineStr">
        <is>
          <t>18</t>
        </is>
      </c>
      <c r="C51" s="6" t="inlineStr"/>
      <c r="D51" s="6" t="inlineStr">
        <is>
          <t>VA3246S</t>
        </is>
      </c>
      <c r="E51" s="6" t="n">
        <v>3</v>
      </c>
      <c r="F51" s="6" t="inlineStr">
        <is>
          <t>-SEPARATOR</t>
        </is>
      </c>
      <c r="G51" s="6" t="inlineStr">
        <is>
          <t>-</t>
        </is>
      </c>
      <c r="H51" s="6" t="n">
        <v>1</v>
      </c>
      <c r="I51" s="6" t="n">
        <v>120</v>
      </c>
      <c r="J51" s="6" t="inlineStr">
        <is>
          <t>-</t>
        </is>
      </c>
      <c r="K51" s="6" t="inlineStr">
        <is>
          <t>-</t>
        </is>
      </c>
      <c r="L51" s="6" t="inlineStr">
        <is>
          <t>-</t>
        </is>
      </c>
      <c r="M51" s="6" t="inlineStr">
        <is>
          <t>-</t>
        </is>
      </c>
      <c r="N51" s="6" t="inlineStr">
        <is>
          <t>-</t>
        </is>
      </c>
      <c r="O51" s="6" t="inlineStr">
        <is>
          <t>-</t>
        </is>
      </c>
      <c r="P51" s="6" t="n"/>
      <c r="Q51" s="6" t="inlineStr">
        <is>
          <t>-</t>
        </is>
      </c>
    </row>
    <row r="52" ht="18" customHeight="1">
      <c r="A52" s="6" t="n">
        <v>46</v>
      </c>
      <c r="B52" s="6" t="inlineStr">
        <is>
          <t>19</t>
        </is>
      </c>
      <c r="C52" s="6" t="inlineStr"/>
      <c r="D52" s="6" t="inlineStr">
        <is>
          <t>VA3246S</t>
        </is>
      </c>
      <c r="E52" s="6" t="n">
        <v>4</v>
      </c>
      <c r="F52" s="6" t="inlineStr">
        <is>
          <t>-SEPARATOR</t>
        </is>
      </c>
      <c r="G52" s="6" t="inlineStr">
        <is>
          <t>-</t>
        </is>
      </c>
      <c r="H52" s="6" t="n">
        <v>1</v>
      </c>
      <c r="I52" s="6" t="n">
        <v>120</v>
      </c>
      <c r="J52" s="6" t="inlineStr">
        <is>
          <t>-</t>
        </is>
      </c>
      <c r="K52" s="6" t="inlineStr">
        <is>
          <t>-</t>
        </is>
      </c>
      <c r="L52" s="6" t="inlineStr">
        <is>
          <t>-</t>
        </is>
      </c>
      <c r="M52" s="6" t="inlineStr">
        <is>
          <t>-</t>
        </is>
      </c>
      <c r="N52" s="6" t="inlineStr">
        <is>
          <t>-</t>
        </is>
      </c>
      <c r="O52" s="6" t="inlineStr">
        <is>
          <t>-</t>
        </is>
      </c>
      <c r="P52" s="6" t="n"/>
      <c r="Q52" s="6" t="inlineStr">
        <is>
          <t>-</t>
        </is>
      </c>
    </row>
    <row r="53" ht="18" customHeight="1">
      <c r="A53" s="6" t="n">
        <v>47</v>
      </c>
      <c r="B53" s="6" t="inlineStr">
        <is>
          <t>20</t>
        </is>
      </c>
      <c r="C53" s="6" t="inlineStr"/>
      <c r="D53" s="6" t="inlineStr">
        <is>
          <t>VA3246S</t>
        </is>
      </c>
      <c r="E53" s="6" t="n">
        <v>5</v>
      </c>
      <c r="F53" s="6" t="inlineStr">
        <is>
          <t>-SEPARATOR</t>
        </is>
      </c>
      <c r="G53" s="6" t="inlineStr">
        <is>
          <t>-</t>
        </is>
      </c>
      <c r="H53" s="6" t="n">
        <v>1</v>
      </c>
      <c r="I53" s="6" t="n">
        <v>120</v>
      </c>
      <c r="J53" s="6" t="inlineStr">
        <is>
          <t>-</t>
        </is>
      </c>
      <c r="K53" s="6" t="inlineStr">
        <is>
          <t>-</t>
        </is>
      </c>
      <c r="L53" s="6" t="inlineStr">
        <is>
          <t>-</t>
        </is>
      </c>
      <c r="M53" s="6" t="inlineStr">
        <is>
          <t>-</t>
        </is>
      </c>
      <c r="N53" s="6" t="inlineStr">
        <is>
          <t>-</t>
        </is>
      </c>
      <c r="O53" s="6" t="inlineStr">
        <is>
          <t>-</t>
        </is>
      </c>
      <c r="P53" s="6" t="n"/>
      <c r="Q53" s="6" t="inlineStr">
        <is>
          <t>-</t>
        </is>
      </c>
    </row>
    <row r="54" ht="18" customHeight="1">
      <c r="A54" s="6" t="n">
        <v>48</v>
      </c>
      <c r="B54" s="6" t="inlineStr">
        <is>
          <t>21</t>
        </is>
      </c>
      <c r="C54" s="6" t="inlineStr"/>
      <c r="D54" s="6" t="inlineStr">
        <is>
          <t>VA3246S</t>
        </is>
      </c>
      <c r="E54" s="6" t="n">
        <v>6</v>
      </c>
      <c r="F54" s="6" t="inlineStr">
        <is>
          <t>-SEPARATOR</t>
        </is>
      </c>
      <c r="G54" s="6" t="inlineStr">
        <is>
          <t>-</t>
        </is>
      </c>
      <c r="H54" s="6" t="n">
        <v>1</v>
      </c>
      <c r="I54" s="6" t="n">
        <v>120</v>
      </c>
      <c r="J54" s="6" t="inlineStr">
        <is>
          <t>-</t>
        </is>
      </c>
      <c r="K54" s="6" t="inlineStr">
        <is>
          <t>-</t>
        </is>
      </c>
      <c r="L54" s="6" t="inlineStr">
        <is>
          <t>-</t>
        </is>
      </c>
      <c r="M54" s="6" t="inlineStr">
        <is>
          <t>-</t>
        </is>
      </c>
      <c r="N54" s="6" t="inlineStr">
        <is>
          <t>-</t>
        </is>
      </c>
      <c r="O54" s="6" t="inlineStr">
        <is>
          <t>-</t>
        </is>
      </c>
      <c r="P54" s="6" t="n"/>
      <c r="Q54" s="6" t="inlineStr">
        <is>
          <t>-</t>
        </is>
      </c>
    </row>
    <row r="55" ht="18" customHeight="1">
      <c r="A55" s="6" t="n">
        <v>49</v>
      </c>
      <c r="B55" s="6" t="inlineStr">
        <is>
          <t>22</t>
        </is>
      </c>
      <c r="C55" s="6" t="inlineStr"/>
      <c r="D55" s="6" t="inlineStr">
        <is>
          <t>VA3246S</t>
        </is>
      </c>
      <c r="E55" s="6" t="n">
        <v>7</v>
      </c>
      <c r="F55" s="6" t="inlineStr">
        <is>
          <t>-SEPARATOR</t>
        </is>
      </c>
      <c r="G55" s="6" t="inlineStr">
        <is>
          <t>-</t>
        </is>
      </c>
      <c r="H55" s="6" t="n">
        <v>1</v>
      </c>
      <c r="I55" s="6" t="n">
        <v>120</v>
      </c>
      <c r="J55" s="6" t="inlineStr">
        <is>
          <t>-</t>
        </is>
      </c>
      <c r="K55" s="6" t="inlineStr">
        <is>
          <t>-</t>
        </is>
      </c>
      <c r="L55" s="6" t="inlineStr">
        <is>
          <t>-</t>
        </is>
      </c>
      <c r="M55" s="6" t="inlineStr">
        <is>
          <t>-</t>
        </is>
      </c>
      <c r="N55" s="6" t="inlineStr">
        <is>
          <t>-</t>
        </is>
      </c>
      <c r="O55" s="6" t="inlineStr">
        <is>
          <t>-</t>
        </is>
      </c>
      <c r="P55" s="6" t="n"/>
      <c r="Q55" s="6" t="inlineStr">
        <is>
          <t>-</t>
        </is>
      </c>
    </row>
    <row r="56" ht="18" customHeight="1">
      <c r="A56" s="6" t="n">
        <v>50</v>
      </c>
      <c r="B56" s="6" t="inlineStr">
        <is>
          <t>23</t>
        </is>
      </c>
      <c r="C56" s="6" t="inlineStr"/>
      <c r="D56" s="6" t="inlineStr">
        <is>
          <t>VA3246S</t>
        </is>
      </c>
      <c r="E56" s="6" t="n">
        <v>8</v>
      </c>
      <c r="F56" s="6" t="inlineStr">
        <is>
          <t>-SEPARATOR</t>
        </is>
      </c>
      <c r="G56" s="6" t="inlineStr">
        <is>
          <t>-</t>
        </is>
      </c>
      <c r="H56" s="6" t="n">
        <v>1</v>
      </c>
      <c r="I56" s="6" t="n">
        <v>120</v>
      </c>
      <c r="J56" s="6" t="inlineStr">
        <is>
          <t>-</t>
        </is>
      </c>
      <c r="K56" s="6" t="inlineStr">
        <is>
          <t>-</t>
        </is>
      </c>
      <c r="L56" s="6" t="inlineStr">
        <is>
          <t>-</t>
        </is>
      </c>
      <c r="M56" s="6" t="inlineStr">
        <is>
          <t>-</t>
        </is>
      </c>
      <c r="N56" s="6" t="inlineStr">
        <is>
          <t>-</t>
        </is>
      </c>
      <c r="O56" s="6" t="inlineStr">
        <is>
          <t>-</t>
        </is>
      </c>
      <c r="P56" s="6" t="n"/>
      <c r="Q56" s="6" t="inlineStr">
        <is>
          <t>-</t>
        </is>
      </c>
    </row>
    <row r="57" ht="18" customHeight="1">
      <c r="A57" s="6" t="n">
        <v>51</v>
      </c>
      <c r="B57" s="6" t="inlineStr">
        <is>
          <t>24</t>
        </is>
      </c>
      <c r="C57" s="6" t="inlineStr"/>
      <c r="D57" s="6" t="inlineStr">
        <is>
          <t>VA3246S</t>
        </is>
      </c>
      <c r="E57" s="6" t="n">
        <v>9</v>
      </c>
      <c r="F57" s="6" t="inlineStr">
        <is>
          <t>-SEPARATOR</t>
        </is>
      </c>
      <c r="G57" s="6" t="inlineStr">
        <is>
          <t>-</t>
        </is>
      </c>
      <c r="H57" s="6" t="n">
        <v>1</v>
      </c>
      <c r="I57" s="6" t="n">
        <v>120</v>
      </c>
      <c r="J57" s="6" t="inlineStr">
        <is>
          <t>-</t>
        </is>
      </c>
      <c r="K57" s="6" t="inlineStr">
        <is>
          <t>-</t>
        </is>
      </c>
      <c r="L57" s="6" t="inlineStr">
        <is>
          <t>-</t>
        </is>
      </c>
      <c r="M57" s="6" t="inlineStr">
        <is>
          <t>-</t>
        </is>
      </c>
      <c r="N57" s="6" t="inlineStr">
        <is>
          <t>-</t>
        </is>
      </c>
      <c r="O57" s="6" t="inlineStr">
        <is>
          <t>-</t>
        </is>
      </c>
      <c r="P57" s="6" t="n"/>
      <c r="Q57" s="6" t="inlineStr">
        <is>
          <t>-</t>
        </is>
      </c>
    </row>
    <row r="58" ht="18" customHeight="1">
      <c r="A58" s="6" t="n">
        <v>52</v>
      </c>
      <c r="B58" s="6" t="inlineStr">
        <is>
          <t>25</t>
        </is>
      </c>
      <c r="C58" s="6" t="inlineStr"/>
      <c r="D58" s="6" t="inlineStr">
        <is>
          <t>VA3246S</t>
        </is>
      </c>
      <c r="E58" s="6" t="n">
        <v>10</v>
      </c>
      <c r="F58" s="6" t="inlineStr">
        <is>
          <t>-SEPARATOR</t>
        </is>
      </c>
      <c r="G58" s="6" t="inlineStr">
        <is>
          <t>-</t>
        </is>
      </c>
      <c r="H58" s="6" t="n">
        <v>1</v>
      </c>
      <c r="I58" s="6" t="n">
        <v>120</v>
      </c>
      <c r="J58" s="6" t="inlineStr">
        <is>
          <t>-</t>
        </is>
      </c>
      <c r="K58" s="6" t="inlineStr">
        <is>
          <t>-</t>
        </is>
      </c>
      <c r="L58" s="6" t="inlineStr">
        <is>
          <t>-</t>
        </is>
      </c>
      <c r="M58" s="6" t="inlineStr">
        <is>
          <t>-</t>
        </is>
      </c>
      <c r="N58" s="6" t="inlineStr">
        <is>
          <t>-</t>
        </is>
      </c>
      <c r="O58" s="6" t="inlineStr">
        <is>
          <t>-</t>
        </is>
      </c>
      <c r="P58" s="6" t="n"/>
      <c r="Q58" s="6" t="inlineStr">
        <is>
          <t>-</t>
        </is>
      </c>
    </row>
    <row r="59" ht="18" customHeight="1">
      <c r="A59" s="6" t="n">
        <v>53</v>
      </c>
      <c r="B59" s="6" t="inlineStr">
        <is>
          <t>26</t>
        </is>
      </c>
      <c r="C59" s="6" t="inlineStr"/>
      <c r="D59" s="6" t="inlineStr">
        <is>
          <t>VA3246S</t>
        </is>
      </c>
      <c r="E59" s="6" t="n">
        <v>11</v>
      </c>
      <c r="F59" s="6" t="inlineStr">
        <is>
          <t>-SEPARATOR</t>
        </is>
      </c>
      <c r="G59" s="6" t="inlineStr">
        <is>
          <t>-</t>
        </is>
      </c>
      <c r="H59" s="6" t="n">
        <v>1</v>
      </c>
      <c r="I59" s="6" t="n">
        <v>120</v>
      </c>
      <c r="J59" s="6" t="inlineStr">
        <is>
          <t>-</t>
        </is>
      </c>
      <c r="K59" s="6" t="inlineStr">
        <is>
          <t>-</t>
        </is>
      </c>
      <c r="L59" s="6" t="inlineStr">
        <is>
          <t>-</t>
        </is>
      </c>
      <c r="M59" s="6" t="inlineStr">
        <is>
          <t>-</t>
        </is>
      </c>
      <c r="N59" s="6" t="inlineStr">
        <is>
          <t>-</t>
        </is>
      </c>
      <c r="O59" s="6" t="inlineStr">
        <is>
          <t>-</t>
        </is>
      </c>
      <c r="P59" s="6" t="n"/>
      <c r="Q59" s="6" t="inlineStr">
        <is>
          <t>-</t>
        </is>
      </c>
    </row>
    <row r="60" ht="18" customHeight="1">
      <c r="A60" s="6" t="n">
        <v>54</v>
      </c>
      <c r="B60" s="6" t="inlineStr">
        <is>
          <t>27</t>
        </is>
      </c>
      <c r="C60" s="6" t="inlineStr"/>
      <c r="D60" s="6" t="inlineStr">
        <is>
          <t>VA3246S</t>
        </is>
      </c>
      <c r="E60" s="6" t="n">
        <v>12</v>
      </c>
      <c r="F60" s="6" t="inlineStr">
        <is>
          <t>-SEPARATOR</t>
        </is>
      </c>
      <c r="G60" s="6" t="inlineStr">
        <is>
          <t>-</t>
        </is>
      </c>
      <c r="H60" s="6" t="n">
        <v>1</v>
      </c>
      <c r="I60" s="6" t="n">
        <v>120</v>
      </c>
      <c r="J60" s="6" t="inlineStr">
        <is>
          <t>-</t>
        </is>
      </c>
      <c r="K60" s="6" t="inlineStr">
        <is>
          <t>-</t>
        </is>
      </c>
      <c r="L60" s="6" t="inlineStr">
        <is>
          <t>-</t>
        </is>
      </c>
      <c r="M60" s="6" t="inlineStr">
        <is>
          <t>-</t>
        </is>
      </c>
      <c r="N60" s="6" t="inlineStr">
        <is>
          <t>-</t>
        </is>
      </c>
      <c r="O60" s="6" t="inlineStr">
        <is>
          <t>-</t>
        </is>
      </c>
      <c r="P60" s="6" t="n"/>
      <c r="Q60" s="6" t="inlineStr">
        <is>
          <t>-</t>
        </is>
      </c>
    </row>
    <row r="61">
      <c r="A61" s="8" t="n"/>
      <c r="B61" s="8" t="n"/>
      <c r="C61" s="8" t="n"/>
      <c r="D61" s="8" t="n"/>
      <c r="E61" s="8" t="n"/>
      <c r="F61" s="9" t="inlineStr">
        <is>
          <t>TOTAL AMPS</t>
        </is>
      </c>
      <c r="G61" s="8" t="n"/>
      <c r="H61" s="8" t="n"/>
      <c r="I61" s="8" t="n"/>
      <c r="J61" s="9">
        <f>SUM(J7:J60)</f>
        <v/>
      </c>
      <c r="K61" s="8" t="n"/>
      <c r="L61" s="8" t="n"/>
      <c r="M61" s="8" t="n"/>
      <c r="N61" s="8" t="n"/>
      <c r="O61" s="8" t="n"/>
      <c r="P61" s="8" t="n"/>
      <c r="Q61" s="8" t="n"/>
    </row>
  </sheetData>
  <mergeCells count="5">
    <mergeCell ref="M5:P5"/>
    <mergeCell ref="G3:Q4"/>
    <mergeCell ref="G5:K5"/>
    <mergeCell ref="A1:Q2"/>
    <mergeCell ref="A3:F5"/>
  </mergeCell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5" customWidth="1" min="3" max="3"/>
    <col width="10" customWidth="1" min="4" max="4"/>
    <col width="12" customWidth="1" min="5" max="5"/>
    <col width="13" customWidth="1" min="6" max="6"/>
    <col width="10" customWidth="1" min="7" max="7"/>
    <col width="10" customWidth="1" min="8" max="8"/>
  </cols>
  <sheetData>
    <row r="1">
      <c r="A1" s="3" t="inlineStr">
        <is>
          <t>Order</t>
        </is>
      </c>
      <c r="B1" s="3" t="inlineStr">
        <is>
          <t>Item</t>
        </is>
      </c>
      <c r="C1" s="3" t="inlineStr">
        <is>
          <t>Description</t>
        </is>
      </c>
      <c r="D1" s="3" t="inlineStr">
        <is>
          <t>Qty</t>
        </is>
      </c>
      <c r="E1" s="3" t="inlineStr">
        <is>
          <t>Unit Price</t>
        </is>
      </c>
      <c r="F1" s="3" t="inlineStr">
        <is>
          <t>Total Price</t>
        </is>
      </c>
      <c r="G1" s="3" t="inlineStr">
        <is>
          <t>Page</t>
        </is>
      </c>
      <c r="H1" s="3" t="inlineStr">
        <is>
          <t>Notes</t>
        </is>
      </c>
    </row>
    <row r="2">
      <c r="A2" s="2" t="n">
        <v>1</v>
      </c>
      <c r="B2" s="2" t="inlineStr">
        <is>
          <t>RC4</t>
        </is>
      </c>
      <c r="C2" s="2" t="inlineStr">
        <is>
          <t>Roller Correlator, 2-1/2" Sch 10 Rollers, Frames, SS</t>
        </is>
      </c>
      <c r="D2" s="2" t="n">
        <v>1</v>
      </c>
      <c r="E2" s="2" t="inlineStr">
        <is>
          <t>5,385.00</t>
        </is>
      </c>
      <c r="F2" s="2" t="inlineStr">
        <is>
          <t>5,385.00</t>
        </is>
      </c>
      <c r="G2" s="2" t="n">
        <v>1</v>
      </c>
      <c r="H2" s="2" t="inlineStr"/>
    </row>
    <row r="3">
      <c r="A3" s="2" t="n">
        <v>2</v>
      </c>
      <c r="B3" s="2" t="inlineStr">
        <is>
          <t>RC3DG-UHMW</t>
        </is>
      </c>
      <c r="C3" s="2" t="inlineStr">
        <is>
          <t>Roller Correlator Guide Rail Set w/ UHMW Covers</t>
        </is>
      </c>
      <c r="D3" s="2" t="n">
        <v>1</v>
      </c>
      <c r="E3" s="2" t="inlineStr">
        <is>
          <t>1,373.00</t>
        </is>
      </c>
      <c r="F3" s="2" t="inlineStr">
        <is>
          <t>1,373.00</t>
        </is>
      </c>
      <c r="G3" s="2" t="n">
        <v>1</v>
      </c>
      <c r="H3" s="2" t="inlineStr"/>
    </row>
    <row r="4">
      <c r="A4" s="2" t="n">
        <v>3</v>
      </c>
      <c r="B4" s="2" t="inlineStr">
        <is>
          <t>BCN3-CONVEYOR</t>
        </is>
      </c>
      <c r="C4" s="2" t="inlineStr">
        <is>
          <t>30" Dual Belt, includes Dual 10 Series 20 HP Drives, 70 Feet, Primered Steel Frame, Glide Plates, Polymer Belt, [Belt Surface], [Belt Color], [Pusher Color][Pusher Pattern], [Safety Stripe Option, Color]</t>
        </is>
      </c>
      <c r="D4" s="2" t="n">
        <v>1</v>
      </c>
      <c r="E4" s="2" t="inlineStr">
        <is>
          <t>128,919.00</t>
        </is>
      </c>
      <c r="F4" s="2" t="inlineStr">
        <is>
          <t>128,919.00</t>
        </is>
      </c>
      <c r="G4" s="2" t="n">
        <v>1</v>
      </c>
      <c r="H4" s="2" t="inlineStr"/>
    </row>
    <row r="5">
      <c r="A5" s="2" t="n">
        <v>4</v>
      </c>
      <c r="B5" s="2" t="inlineStr">
        <is>
          <t>FGPIT-CLM-K</t>
        </is>
      </c>
      <c r="C5" s="2" t="inlineStr">
        <is>
          <t>Fiberglass Closed Grating, Molded, 4' x 12' Sheet- Black</t>
        </is>
      </c>
      <c r="D5" s="2" t="n">
        <v>1</v>
      </c>
      <c r="E5" s="2" t="inlineStr">
        <is>
          <t>1,360.00</t>
        </is>
      </c>
      <c r="F5" s="2" t="inlineStr">
        <is>
          <t>1,360.00</t>
        </is>
      </c>
      <c r="G5" s="2" t="n">
        <v>1</v>
      </c>
      <c r="H5" s="2" t="inlineStr"/>
    </row>
    <row r="6">
      <c r="A6" s="2" t="n">
        <v>5</v>
      </c>
      <c r="B6" s="2" t="inlineStr">
        <is>
          <t>FGPIT-MOLD-K-4X12</t>
        </is>
      </c>
      <c r="C6" s="2" t="inlineStr">
        <is>
          <t>Fiberglass Grating, Molded, 4' x 12' Sheet, Black</t>
        </is>
      </c>
      <c r="D6" s="2" t="n">
        <v>3</v>
      </c>
      <c r="E6" s="2" t="inlineStr">
        <is>
          <t>876.00</t>
        </is>
      </c>
      <c r="F6" s="2" t="inlineStr">
        <is>
          <t>2,628.00</t>
        </is>
      </c>
      <c r="G6" s="2" t="n">
        <v>1</v>
      </c>
      <c r="H6" s="2" t="inlineStr"/>
    </row>
    <row r="7">
      <c r="A7" s="2" t="n">
        <v>6</v>
      </c>
      <c r="B7" s="2" t="inlineStr">
        <is>
          <t>PHE2-0315</t>
        </is>
      </c>
      <c r="C7" s="2" t="inlineStr">
        <is>
          <t>Entrance Gate System, (2) Photo World Beam Universal Voltage Electric Eye Sets with Stands (w/o Tire Switch) for Independent Vehicle Body and Wheel Detection</t>
        </is>
      </c>
      <c r="D7" s="2" t="n">
        <v>1</v>
      </c>
      <c r="E7" s="2" t="inlineStr">
        <is>
          <t>4,336.00</t>
        </is>
      </c>
      <c r="F7" s="2" t="inlineStr">
        <is>
          <t>4,336.00</t>
        </is>
      </c>
      <c r="G7" s="2" t="n">
        <v>1</v>
      </c>
      <c r="H7" s="2" t="inlineStr"/>
    </row>
    <row r="8">
      <c r="A8" s="2" t="n">
        <v>7</v>
      </c>
      <c r="B8" s="2" t="inlineStr">
        <is>
          <t>PGS1</t>
        </is>
      </c>
      <c r="C8" s="2" t="inlineStr">
        <is>
          <t>Pump Station (Prep-Gun), PSD10 7.5HP, 6 GPM, (2) Prep Guns w/ Stainless Steel Gun Holders</t>
        </is>
      </c>
      <c r="D8" s="2" t="n">
        <v>1</v>
      </c>
      <c r="E8" s="2" t="inlineStr">
        <is>
          <t>9,758.00</t>
        </is>
      </c>
      <c r="F8" s="2" t="inlineStr">
        <is>
          <t>9,758.00</t>
        </is>
      </c>
      <c r="G8" s="2" t="n">
        <v>1</v>
      </c>
      <c r="H8" s="2" t="inlineStr"/>
    </row>
    <row r="9">
      <c r="A9" s="2" t="n">
        <v>8</v>
      </c>
      <c r="B9" s="2" t="inlineStr">
        <is>
          <t>UW2</t>
        </is>
      </c>
      <c r="C9" s="2" t="inlineStr">
        <is>
          <t>Under Carriage Wash, Hexagon Shape, SS Construction, 90° elbows, PVDF Nozzles</t>
        </is>
      </c>
      <c r="D9" s="2" t="n">
        <v>1</v>
      </c>
      <c r="E9" s="2" t="inlineStr">
        <is>
          <t>1,764.00</t>
        </is>
      </c>
      <c r="F9" s="2" t="inlineStr">
        <is>
          <t>1,764.00</t>
        </is>
      </c>
      <c r="G9" s="2" t="n">
        <v>1</v>
      </c>
      <c r="H9" s="2" t="inlineStr"/>
    </row>
    <row r="10">
      <c r="A10" s="2" t="n">
        <v>9</v>
      </c>
      <c r="B10" s="2" t="inlineStr">
        <is>
          <t>OT2-AA0</t>
        </is>
      </c>
      <c r="C10" s="2" t="inlineStr">
        <is>
          <t>Arch (Empty), Octa² Design</t>
        </is>
      </c>
      <c r="D10" s="2" t="n">
        <v>1</v>
      </c>
      <c r="E10" s="2" t="inlineStr">
        <is>
          <t>2,016.00</t>
        </is>
      </c>
      <c r="F10" s="2" t="inlineStr">
        <is>
          <t>2,016.00</t>
        </is>
      </c>
      <c r="G10" s="2" t="n">
        <v>1</v>
      </c>
      <c r="H10" s="2" t="inlineStr"/>
    </row>
    <row r="11">
      <c r="A11" s="2" t="n">
        <v>10</v>
      </c>
      <c r="B11" s="2" t="inlineStr">
        <is>
          <t>J3179</t>
        </is>
      </c>
      <c r="C11" s="2" t="inlineStr">
        <is>
          <t>"Avalanche", With 2 Row Rain Manifold (Specify Mounting Option &amp; Operation), Shower Manifold Deflector Attachment J3179A - Shower Rinse Top Manifold Assembly, SS, 90" LG. (2 rows) AA5D-2; Foam Generator, Stainless Steel SF1117AAG (Quantity of 3) (Omit If Using As Waterfall)</t>
        </is>
      </c>
      <c r="D11" s="2" t="n">
        <v>1</v>
      </c>
      <c r="E11" s="2" t="inlineStr">
        <is>
          <t>3,696.00</t>
        </is>
      </c>
      <c r="F11" s="2" t="inlineStr">
        <is>
          <t>3,696.00</t>
        </is>
      </c>
      <c r="G11" s="2" t="n">
        <v>1</v>
      </c>
      <c r="H11" s="2" t="inlineStr"/>
    </row>
    <row r="12">
      <c r="A12" s="2" t="n">
        <v>11</v>
      </c>
      <c r="B12" s="2" t="inlineStr">
        <is>
          <t>APS2-0209-F-8QT</t>
        </is>
      </c>
      <c r="C12" s="2" t="inlineStr">
        <is>
          <t>Pump Panel (Air), Foaming, With FloJet Pump, Compact Panel w/8 Qt Bucket</t>
        </is>
      </c>
      <c r="D12" s="2" t="n">
        <v>3</v>
      </c>
      <c r="E12" s="2" t="inlineStr">
        <is>
          <t>1,463.00</t>
        </is>
      </c>
      <c r="F12" s="2" t="inlineStr">
        <is>
          <t>4,389.00</t>
        </is>
      </c>
      <c r="G12" s="2" t="n">
        <v>1</v>
      </c>
      <c r="H12" s="2" t="inlineStr"/>
    </row>
    <row r="13">
      <c r="A13" s="2" t="n">
        <v>12</v>
      </c>
      <c r="B13" s="2" t="inlineStr">
        <is>
          <t>CTA1</t>
        </is>
      </c>
      <c r="C13" s="2" t="inlineStr">
        <is>
          <t>Set-Chemical Tire Applicator, SS Construction, PVDF Nozzles, Chemical Pump Panel, non-foaming</t>
        </is>
      </c>
      <c r="D13" s="2" t="n">
        <v>1</v>
      </c>
      <c r="E13" s="2" t="inlineStr">
        <is>
          <t>2,256.00</t>
        </is>
      </c>
      <c r="F13" s="2" t="inlineStr">
        <is>
          <t>2,256.00</t>
        </is>
      </c>
      <c r="G13" s="2" t="n">
        <v>1</v>
      </c>
      <c r="H13" s="2" t="inlineStr"/>
    </row>
    <row r="14">
      <c r="A14" s="2" t="n">
        <v>13</v>
      </c>
      <c r="B14" s="2" t="inlineStr">
        <is>
          <t>2WAMC2CB0405-EL</t>
        </is>
      </c>
      <c r="C14" s="2" t="inlineStr">
        <is>
          <t>Dual "Z"-Wrap/Full Mitter/Contour Combo, Submit Electric Drive, 8" Step-up Wrap Arms (Brushes Not Included)</t>
        </is>
      </c>
      <c r="D14" s="2" t="n">
        <v>1</v>
      </c>
      <c r="E14" s="2" t="inlineStr">
        <is>
          <t>82,120.00</t>
        </is>
      </c>
      <c r="F14" s="2" t="inlineStr">
        <is>
          <t>82,120.00</t>
        </is>
      </c>
      <c r="G14" s="2" t="n">
        <v>1</v>
      </c>
      <c r="H14" s="2" t="inlineStr"/>
    </row>
    <row r="15">
      <c r="A15" s="2" t="n">
        <v>14</v>
      </c>
      <c r="B15" s="2" t="inlineStr">
        <is>
          <t>WA1M-72-510-5220-CORE</t>
        </is>
      </c>
      <c r="C15" s="2" t="inlineStr">
        <is>
          <t>Core 51072-5220, Hugger, Core Only (WA1M-72-510-5220-CORE), 5"/10" Core Dia. x 72"H (52/20), for Wrap and Van High Side Washer, Aluminum, per core</t>
        </is>
      </c>
      <c r="D15" s="2" t="n">
        <v>4</v>
      </c>
      <c r="E15" s="2" t="inlineStr">
        <is>
          <t>921.50</t>
        </is>
      </c>
      <c r="F15" s="2" t="inlineStr">
        <is>
          <t>3,686.00</t>
        </is>
      </c>
      <c r="G15" s="2" t="n">
        <v>1</v>
      </c>
      <c r="H15" s="2" t="inlineStr"/>
    </row>
    <row r="16">
      <c r="A16" s="2" t="n">
        <v>15</v>
      </c>
      <c r="B16" s="2" t="inlineStr">
        <is>
          <t>WA1M-00-510-5220-SS-NG...</t>
        </is>
      </c>
      <c r="C16" s="2" t="inlineStr">
        <is>
          <t>Brush 51072-5220, Wrap Hugger, NeoGlide® Only (WA1M-00-510-5220-SS-NG), Upper Section-52"H, Straight-Cut, Lower Section-20"H, Straight-Cut, for 5"/10" Core Dia. x 72"H, Blue</t>
        </is>
      </c>
      <c r="D16" s="2" t="n">
        <v>4</v>
      </c>
      <c r="E16" s="2" t="inlineStr">
        <is>
          <t>1,805.00</t>
        </is>
      </c>
      <c r="F16" s="2" t="inlineStr">
        <is>
          <t>7,220.00</t>
        </is>
      </c>
      <c r="G16" s="2" t="n">
        <v>2</v>
      </c>
      <c r="H16" s="2" t="inlineStr"/>
    </row>
    <row r="17">
      <c r="A17" s="2" t="n">
        <v>16</v>
      </c>
      <c r="B17" s="2" t="inlineStr">
        <is>
          <t>MC1E-12W79L-S-CL-AVW...</t>
        </is>
      </c>
      <c r="C17" s="2" t="inlineStr">
        <is>
          <t>Mitter Curtain, 12"W x 79"Lg w/4" Cuts, Straight-Cut, Looped/Glued, Cloth - Black</t>
        </is>
      </c>
      <c r="D17" s="2" t="n">
        <v>42</v>
      </c>
      <c r="E17" s="2" t="inlineStr">
        <is>
          <t>30.80</t>
        </is>
      </c>
      <c r="F17" s="2" t="inlineStr">
        <is>
          <t>1,293.60</t>
        </is>
      </c>
      <c r="G17" s="2" t="n">
        <v>2</v>
      </c>
      <c r="H17" s="2" t="inlineStr"/>
    </row>
    <row r="18">
      <c r="A18" s="2" t="n">
        <v>17</v>
      </c>
      <c r="B18" s="2" t="inlineStr">
        <is>
          <t>CB0405AMA-23-13-S-NG-BK</t>
        </is>
      </c>
      <c r="C18" s="2" t="inlineStr">
        <is>
          <t>Brush 1323, Lower Contour, NeoGlide® Only, AVW Design (drive from top), Electric Drive (CB0405AMA-23-13-S-NG), 13" Core Dia. x 23"H, Straight-Cut, per brush, Black</t>
        </is>
      </c>
      <c r="D18" s="2" t="n">
        <v>2</v>
      </c>
      <c r="E18" s="2" t="inlineStr">
        <is>
          <t>880.00</t>
        </is>
      </c>
      <c r="F18" s="2" t="inlineStr">
        <is>
          <t>1,760.00</t>
        </is>
      </c>
      <c r="G18" s="2" t="n">
        <v>2</v>
      </c>
      <c r="H18" s="2" t="inlineStr"/>
    </row>
    <row r="19">
      <c r="A19" s="2" t="n">
        <v>18</v>
      </c>
      <c r="B19" s="2" t="inlineStr">
        <is>
          <t>CB0405AMC-23-13</t>
        </is>
      </c>
      <c r="C19" s="2" t="inlineStr">
        <is>
          <t>Core 1323, Lower Contour, AVW, Core Only, 13" Core Dia. x 23"H, Aluminum, per core</t>
        </is>
      </c>
      <c r="D19" s="2" t="n">
        <v>2</v>
      </c>
      <c r="E19" s="2" t="inlineStr">
        <is>
          <t>542.40</t>
        </is>
      </c>
      <c r="F19" s="2" t="inlineStr">
        <is>
          <t>1,084.80</t>
        </is>
      </c>
      <c r="G19" s="2" t="n">
        <v>2</v>
      </c>
      <c r="H19" s="2" t="inlineStr"/>
    </row>
    <row r="20">
      <c r="A20" s="2" t="n">
        <v>19</v>
      </c>
      <c r="B20" s="2" t="inlineStr">
        <is>
          <t>CB0405AMC-50-13</t>
        </is>
      </c>
      <c r="C20" s="2" t="inlineStr">
        <is>
          <t>Core 1350, Upper Contour, AVW, Core Only, 13" Core Dia. x 50"H, Aluminum, per core</t>
        </is>
      </c>
      <c r="D20" s="2" t="n">
        <v>2</v>
      </c>
      <c r="E20" s="2" t="inlineStr">
        <is>
          <t>936.40</t>
        </is>
      </c>
      <c r="F20" s="2" t="inlineStr">
        <is>
          <t>1,872.80</t>
        </is>
      </c>
      <c r="G20" s="2" t="n">
        <v>2</v>
      </c>
      <c r="H20" s="2" t="inlineStr"/>
    </row>
    <row r="21">
      <c r="A21" s="2" t="n">
        <v>20</v>
      </c>
      <c r="B21" s="2" t="inlineStr">
        <is>
          <t>CB0405AMA-50-13-S-NG-BK</t>
        </is>
      </c>
      <c r="C21" s="2" t="inlineStr">
        <is>
          <t>Brush 1350, Upper Contour, NeoGlide® Only, AVW Design, 13" Core Dia. x 50"H, Straight-Cut, per brush, Black</t>
        </is>
      </c>
      <c r="D21" s="2" t="n">
        <v>2</v>
      </c>
      <c r="E21" s="2" t="inlineStr">
        <is>
          <t>2,019.00</t>
        </is>
      </c>
      <c r="F21" s="2" t="inlineStr">
        <is>
          <t>4,038.00</t>
        </is>
      </c>
      <c r="G21" s="2" t="n">
        <v>2</v>
      </c>
      <c r="H21" s="2" t="inlineStr"/>
    </row>
    <row r="22">
      <c r="A22" s="2" t="n">
        <v>21</v>
      </c>
      <c r="B22" s="2" t="inlineStr">
        <is>
          <t>RB1-EL-0122</t>
        </is>
      </c>
      <c r="C22" s="2" t="inlineStr">
        <is>
          <t>Set-Rocker Panel Brush, Adjustable Coverage Angle, Electric Drive, Universal Motor Mount, Includes Rinse Manifolds, SS (Brushes Not Included)</t>
        </is>
      </c>
      <c r="D22" s="2" t="n">
        <v>1</v>
      </c>
      <c r="E22" s="2" t="inlineStr">
        <is>
          <t>9,813.20</t>
        </is>
      </c>
      <c r="F22" s="2" t="inlineStr">
        <is>
          <t>9,813.20</t>
        </is>
      </c>
      <c r="G22" s="2" t="n">
        <v>2</v>
      </c>
      <c r="H22" s="2" t="inlineStr"/>
    </row>
    <row r="23">
      <c r="A23" s="2" t="n">
        <v>22</v>
      </c>
      <c r="B23" s="2" t="inlineStr">
        <is>
          <t>RB1AMC-23-13</t>
        </is>
      </c>
      <c r="C23" s="2" t="inlineStr">
        <is>
          <t>Core 1323, Rocker, Core Only, 13" Core Dia. x 23"H, Aluminum, per core</t>
        </is>
      </c>
      <c r="D23" s="2" t="n">
        <v>2</v>
      </c>
      <c r="E23" s="2" t="inlineStr">
        <is>
          <t>542.40</t>
        </is>
      </c>
      <c r="F23" s="2" t="inlineStr">
        <is>
          <t>1,084.80</t>
        </is>
      </c>
      <c r="G23" s="2" t="n">
        <v>2</v>
      </c>
      <c r="H23" s="2" t="inlineStr"/>
    </row>
    <row r="24">
      <c r="A24" s="2" t="n">
        <v>23</v>
      </c>
      <c r="B24" s="2" t="inlineStr">
        <is>
          <t>RB1AMA-23-13-S-CL-BL</t>
        </is>
      </c>
      <c r="C24" s="2" t="inlineStr">
        <is>
          <t>Brush 1323, Rocker, Cloth Only (RB1AMA-23-13-S-CL), 13" Core Dia. x 23"H, Straight-cut, per brush, Blue</t>
        </is>
      </c>
      <c r="D24" s="2" t="n">
        <v>2</v>
      </c>
      <c r="E24" s="2" t="inlineStr">
        <is>
          <t>708.30</t>
        </is>
      </c>
      <c r="F24" s="2" t="inlineStr">
        <is>
          <t>1,416.60</t>
        </is>
      </c>
      <c r="G24" s="2" t="n">
        <v>2</v>
      </c>
      <c r="H24" s="2" t="inlineStr"/>
    </row>
    <row r="25">
      <c r="A25" s="2" t="n">
        <v>24</v>
      </c>
      <c r="B25" s="2" t="inlineStr">
        <is>
          <t>WA1-SK-2018</t>
        </is>
      </c>
      <c r="C25" s="2" t="inlineStr">
        <is>
          <t>Retract and Dual Air Assist Kit, includes (2) Air Cylinders and Wrap Air Assist Panel with (3) 3-way Valves and Regulators, Two for Assist and One for Retract, with Shuttle Valves for Each Wrap</t>
        </is>
      </c>
      <c r="D25" s="2" t="n">
        <v>2</v>
      </c>
      <c r="E25" s="2" t="inlineStr">
        <is>
          <t>2,029.00</t>
        </is>
      </c>
      <c r="F25" s="2" t="inlineStr">
        <is>
          <t>4,058.00</t>
        </is>
      </c>
      <c r="G25" s="2" t="n">
        <v>2</v>
      </c>
      <c r="H25" s="2" t="inlineStr"/>
    </row>
    <row r="26">
      <c r="A26" s="2" t="n">
        <v>25</v>
      </c>
      <c r="B26" s="2" t="inlineStr">
        <is>
          <t>WA2F-0318</t>
        </is>
      </c>
      <c r="C26" s="2" t="inlineStr">
        <is>
          <t>Wrap Stabilizer Kit, with Fasteners and U-bolt Rear Mount to Arm; with 4" x 5-3/4" Heavy Duty Plate and Two U-bolts. (1 set - 2 pcs.)</t>
        </is>
      </c>
      <c r="D26" s="2" t="n">
        <v>2</v>
      </c>
      <c r="E26" s="2" t="inlineStr">
        <is>
          <t>1,084.00</t>
        </is>
      </c>
      <c r="F26" s="2" t="inlineStr">
        <is>
          <t>2,168.00</t>
        </is>
      </c>
      <c r="G26" s="2" t="n">
        <v>2</v>
      </c>
      <c r="H26" s="2" t="inlineStr"/>
    </row>
    <row r="27">
      <c r="A27" s="2" t="n">
        <v>26</v>
      </c>
      <c r="B27" s="2" t="inlineStr">
        <is>
          <t>OT2-PO1-EL</t>
        </is>
      </c>
      <c r="C27" s="2" t="inlineStr">
        <is>
          <t>Pivoting Oscillating High Pressure Arch Octa²,Pivoting &amp; Oscillating Motion, Air Control Panel, SS Construction, Electric Drive (requires WA1P Air Control Panel to pivot, not included)</t>
        </is>
      </c>
      <c r="D27" s="2" t="n">
        <v>1</v>
      </c>
      <c r="E27" s="2" t="inlineStr">
        <is>
          <t>22,240.00</t>
        </is>
      </c>
      <c r="F27" s="2" t="inlineStr">
        <is>
          <t>22,240.00</t>
        </is>
      </c>
      <c r="G27" s="2" t="n">
        <v>3</v>
      </c>
      <c r="H27" s="2" t="inlineStr"/>
    </row>
    <row r="28">
      <c r="A28" s="2" t="n">
        <v>27</v>
      </c>
      <c r="B28" s="2" t="inlineStr">
        <is>
          <t>WA1P-120V</t>
        </is>
      </c>
      <c r="C28" s="2" t="inlineStr">
        <is>
          <t>Panel (Air Control) - 120 VAC, with 4-way Directional Valve</t>
        </is>
      </c>
      <c r="D28" s="2" t="n">
        <v>1</v>
      </c>
      <c r="E28" s="2" t="inlineStr">
        <is>
          <t>542.00</t>
        </is>
      </c>
      <c r="F28" s="2" t="inlineStr">
        <is>
          <t>542.00</t>
        </is>
      </c>
      <c r="G28" s="2" t="n">
        <v>3</v>
      </c>
      <c r="H28" s="2" t="inlineStr"/>
    </row>
    <row r="29">
      <c r="A29" s="2" t="n">
        <v>28</v>
      </c>
      <c r="B29" s="2" t="inlineStr">
        <is>
          <t>WS1</t>
        </is>
      </c>
      <c r="C29" s="2" t="inlineStr">
        <is>
          <t>Wheel Blaster Set (Wheel Cannon), SS Construction, includes Air Control Panel, Swivels, Rotors, Nozzles (Hexagon Shaped)</t>
        </is>
      </c>
      <c r="D29" s="2" t="n">
        <v>1</v>
      </c>
      <c r="E29" s="2" t="inlineStr">
        <is>
          <t>6,584.00</t>
        </is>
      </c>
      <c r="F29" s="2" t="inlineStr">
        <is>
          <t>6,584.00</t>
        </is>
      </c>
      <c r="G29" s="2" t="n">
        <v>3</v>
      </c>
      <c r="H29" s="2" t="inlineStr"/>
    </row>
    <row r="30">
      <c r="A30" s="2" t="n">
        <v>29</v>
      </c>
      <c r="B30" s="2" t="inlineStr">
        <is>
          <t>PS2H25</t>
        </is>
      </c>
      <c r="C30" s="2" t="inlineStr">
        <is>
          <t>Double Stack Pumping Station 2 x 20gpm</t>
        </is>
      </c>
      <c r="D30" s="2" t="n">
        <v>1</v>
      </c>
      <c r="E30" s="2" t="inlineStr">
        <is>
          <t>25,400.00</t>
        </is>
      </c>
      <c r="F30" s="2" t="inlineStr">
        <is>
          <t>25,400.00</t>
        </is>
      </c>
      <c r="G30" s="2" t="n">
        <v>3</v>
      </c>
      <c r="H30" s="2" t="inlineStr"/>
    </row>
    <row r="31">
      <c r="A31" s="2" t="n">
        <v>30</v>
      </c>
      <c r="B31" s="2" t="inlineStr">
        <is>
          <t>PSH25</t>
        </is>
      </c>
      <c r="C31" s="2" t="inlineStr">
        <is>
          <t>Single Pumping Station, 20gpm, Includes PS2-VIB-KIT-1224</t>
        </is>
      </c>
      <c r="D31" s="2" t="n">
        <v>1</v>
      </c>
      <c r="E31" s="2" t="inlineStr">
        <is>
          <t>12,730.00</t>
        </is>
      </c>
      <c r="F31" s="2" t="inlineStr">
        <is>
          <t>12,730.00</t>
        </is>
      </c>
      <c r="G31" s="2" t="n">
        <v>3</v>
      </c>
      <c r="H31" s="2" t="inlineStr"/>
    </row>
    <row r="32">
      <c r="A32" s="2" t="n">
        <v>31</v>
      </c>
      <c r="B32" s="2" t="inlineStr">
        <is>
          <t>OT2-AA1</t>
        </is>
      </c>
      <c r="C32" s="2" t="inlineStr">
        <is>
          <t>Arch (Applicator), Octa², Stainless Steel Arch &amp; Manifolds</t>
        </is>
      </c>
      <c r="D32" s="2" t="n">
        <v>1</v>
      </c>
      <c r="E32" s="2" t="inlineStr">
        <is>
          <t>2,556.00</t>
        </is>
      </c>
      <c r="F32" s="2" t="inlineStr">
        <is>
          <t>2,556.00</t>
        </is>
      </c>
      <c r="G32" s="2" t="n">
        <v>3</v>
      </c>
      <c r="H32" s="2" t="inlineStr"/>
    </row>
    <row r="33">
      <c r="A33" s="2" t="n">
        <v>32</v>
      </c>
      <c r="B33" s="2" t="inlineStr">
        <is>
          <t>AA5D-2</t>
        </is>
      </c>
      <c r="C33" s="2" t="inlineStr">
        <is>
          <t>Shower Rinse Top Manifold Assembly, 2 row, 90" LG., w/Mounting Arms and Brackets, SS</t>
        </is>
      </c>
      <c r="D33" s="2" t="n">
        <v>2</v>
      </c>
      <c r="E33" s="2" t="inlineStr">
        <is>
          <t>900.00</t>
        </is>
      </c>
      <c r="F33" s="2" t="inlineStr">
        <is>
          <t>1,800.00</t>
        </is>
      </c>
      <c r="G33" s="2" t="n">
        <v>3</v>
      </c>
      <c r="H33" s="2" t="inlineStr"/>
    </row>
    <row r="34">
      <c r="A34" s="2" t="n">
        <v>33</v>
      </c>
      <c r="B34" s="2" t="inlineStr">
        <is>
          <t>BWA1</t>
        </is>
      </c>
      <c r="C34" s="2" t="inlineStr">
        <is>
          <t>Glass Block Archway-Straight Sides, Arched Top</t>
        </is>
      </c>
      <c r="D34" s="2" t="n">
        <v>1</v>
      </c>
      <c r="E34" s="2" t="inlineStr">
        <is>
          <t>3,372.00</t>
        </is>
      </c>
      <c r="F34" s="2" t="inlineStr">
        <is>
          <t>3,372.00</t>
        </is>
      </c>
      <c r="G34" s="2" t="n">
        <v>3</v>
      </c>
      <c r="H34" s="2" t="inlineStr"/>
    </row>
    <row r="35">
      <c r="A35" s="2" t="n">
        <v>34</v>
      </c>
      <c r="B35" s="2" t="inlineStr">
        <is>
          <t>BL1C10X12-PENTA</t>
        </is>
      </c>
      <c r="C35" s="2" t="inlineStr">
        <is>
          <t>Blower Frame (Mounting), 10 Ft. Long x 12 Ft. Wide, w/(3) Penta Crossbars 12 Ft. Long, (4) 84" Legs</t>
        </is>
      </c>
      <c r="D35" s="2" t="n">
        <v>1</v>
      </c>
      <c r="E35" s="2" t="inlineStr">
        <is>
          <t>10,400.00</t>
        </is>
      </c>
      <c r="F35" s="2" t="inlineStr">
        <is>
          <t>10,400.00</t>
        </is>
      </c>
      <c r="G35" s="2" t="n">
        <v>3</v>
      </c>
      <c r="H35" s="2" t="inlineStr"/>
    </row>
    <row r="36">
      <c r="A36" s="2" t="n">
        <v>35</v>
      </c>
      <c r="B36" s="2" t="inlineStr">
        <is>
          <t>BL0522DFS-BL-15</t>
        </is>
      </c>
      <c r="C36" s="2" t="inlineStr">
        <is>
          <t>Blower Producer, 15 HP 3600 RPM, Reinforced Flanged Plastic Housing, with SS Rings for Inside of Housing, with two 8-1/2" Bolts, 4 Washers, 2 Lock Nuts, with 15 HP Intake Screen, Flanged Reinforced Straight Nozzle, Blue</t>
        </is>
      </c>
      <c r="D36" s="2" t="n">
        <v>8</v>
      </c>
      <c r="E36" s="2" t="inlineStr">
        <is>
          <t>5,617.00</t>
        </is>
      </c>
      <c r="F36" s="2" t="inlineStr">
        <is>
          <t>44,936.00</t>
        </is>
      </c>
      <c r="G36" s="2" t="n">
        <v>3</v>
      </c>
      <c r="H36" s="2" t="inlineStr"/>
    </row>
    <row r="37">
      <c r="A37" s="2" t="n">
        <v>36</v>
      </c>
      <c r="B37" s="2" t="inlineStr">
        <is>
          <t>ACC-EMX-DTEK-BASE</t>
        </is>
      </c>
      <c r="C37" s="2" t="inlineStr">
        <is>
          <t>Socket Base, DIN Rail Mount, for D-Teak Loop Detector</t>
        </is>
      </c>
      <c r="D37" s="2" t="n">
        <v>1</v>
      </c>
      <c r="E37" s="2" t="inlineStr">
        <is>
          <t>31.20</t>
        </is>
      </c>
      <c r="F37" s="2" t="inlineStr">
        <is>
          <t>31.20</t>
        </is>
      </c>
      <c r="G37" s="2" t="n">
        <v>3</v>
      </c>
      <c r="H37" s="2" t="inlineStr"/>
    </row>
    <row r="38">
      <c r="A38" s="2" t="n">
        <v>37</v>
      </c>
      <c r="B38" s="2" t="inlineStr">
        <is>
          <t>ACC-EMX-DTEK-UNIV</t>
        </is>
      </c>
      <c r="C38" s="2" t="inlineStr">
        <is>
          <t>D-Tek MVP Loop Detector, Universal Voltage 9-220 VAC/DC</t>
        </is>
      </c>
      <c r="D38" s="2" t="n">
        <v>1</v>
      </c>
      <c r="E38" s="2" t="inlineStr">
        <is>
          <t>388.56</t>
        </is>
      </c>
      <c r="F38" s="2" t="inlineStr">
        <is>
          <t>388.56</t>
        </is>
      </c>
      <c r="G38" s="2" t="n">
        <v>3</v>
      </c>
      <c r="H38" s="2" t="inlineStr"/>
    </row>
    <row r="39">
      <c r="A39" s="2" t="n">
        <v>38</v>
      </c>
      <c r="B39" s="2" t="inlineStr">
        <is>
          <t>ACC-EMX-LOOP</t>
        </is>
      </c>
      <c r="C39" s="2" t="inlineStr">
        <is>
          <t>Surface Mounted Loop Pad, 23-1/2" Square, Polypropylene, 50' Shielded Twisted Pair Lead-In</t>
        </is>
      </c>
      <c r="D39" s="2" t="n">
        <v>1</v>
      </c>
      <c r="E39" s="2" t="inlineStr">
        <is>
          <t>1,262.27</t>
        </is>
      </c>
      <c r="F39" s="2" t="inlineStr">
        <is>
          <t>1,262.27</t>
        </is>
      </c>
      <c r="G39" s="2" t="n">
        <v>3</v>
      </c>
      <c r="H39" s="2" t="inlineStr"/>
    </row>
    <row r="40">
      <c r="A40" s="2" t="n">
        <v>39</v>
      </c>
      <c r="B40" s="2" t="inlineStr">
        <is>
          <t>FM1H</t>
        </is>
      </c>
      <c r="C40" s="2" t="inlineStr">
        <is>
          <t>Finishing Module Heater, Dual Top Direct-Fired Heated Dryers on Dual Penta Arch, SS</t>
        </is>
      </c>
      <c r="D40" s="2" t="n">
        <v>1</v>
      </c>
      <c r="E40" s="2" t="inlineStr">
        <is>
          <t>41,790.00</t>
        </is>
      </c>
      <c r="F40" s="2" t="inlineStr">
        <is>
          <t>41,790.00</t>
        </is>
      </c>
      <c r="G40" s="2" t="n">
        <v>3</v>
      </c>
      <c r="H40" s="2" t="inlineStr"/>
    </row>
    <row r="41">
      <c r="A41" s="2" t="n">
        <v>40</v>
      </c>
      <c r="B41" s="2" t="inlineStr">
        <is>
          <t>TPA64i</t>
        </is>
      </c>
      <c r="C41" s="2" t="inlineStr">
        <is>
          <t>Guardian Wash Command™ Tunnel Controller: 64 Function, includes iPad HMI, Network Router for Remote Site Access</t>
        </is>
      </c>
      <c r="D41" s="2" t="n">
        <v>1</v>
      </c>
      <c r="E41" s="2" t="inlineStr">
        <is>
          <t>28,300.00</t>
        </is>
      </c>
      <c r="F41" s="2" t="inlineStr">
        <is>
          <t>28,300.00</t>
        </is>
      </c>
      <c r="G41" s="2" t="n">
        <v>4</v>
      </c>
      <c r="H41" s="2" t="inlineStr"/>
    </row>
    <row r="42">
      <c r="A42" s="2" t="n">
        <v>41</v>
      </c>
      <c r="B42" s="2" t="inlineStr">
        <is>
          <t>DISPENSEIT2-15F-F-75-48...</t>
        </is>
      </c>
      <c r="C42" s="2" t="inlineStr">
        <is>
          <t>dispenseIT GEN 2 15 Function Chemical Dispensing System, Floor (caster) Mount, 7.5 HP Pump, 480V 3Ø, 110V Control</t>
        </is>
      </c>
      <c r="D42" s="2" t="n">
        <v>1</v>
      </c>
      <c r="E42" s="2" t="inlineStr">
        <is>
          <t>29,399.00</t>
        </is>
      </c>
      <c r="F42" s="2" t="inlineStr">
        <is>
          <t>29,399.00</t>
        </is>
      </c>
      <c r="G42" s="2" t="n">
        <v>4</v>
      </c>
      <c r="H42" s="2" t="inlineStr"/>
    </row>
    <row r="43">
      <c r="A43" s="2" t="n">
        <v>42</v>
      </c>
      <c r="B43" s="2" t="inlineStr">
        <is>
          <t>DISPENSEIT-15-INJ-KIT</t>
        </is>
      </c>
      <c r="C43" s="2" t="inlineStr">
        <is>
          <t>DispenseIT 15-pc. 311 Series Single Barb Quick Connect Injector Kit</t>
        </is>
      </c>
      <c r="D43" s="2" t="n">
        <v>1</v>
      </c>
      <c r="E43" s="2" t="inlineStr">
        <is>
          <t>2,499.00</t>
        </is>
      </c>
      <c r="F43" s="2" t="inlineStr">
        <is>
          <t>2,499.00</t>
        </is>
      </c>
      <c r="G43" s="2" t="n">
        <v>4</v>
      </c>
      <c r="H43" s="2" t="inlineStr"/>
    </row>
    <row r="44">
      <c r="A44" s="2" t="n">
        <v>43</v>
      </c>
      <c r="B44" s="2" t="inlineStr">
        <is>
          <t>PBS-12</t>
        </is>
      </c>
      <c r="C44" s="2" t="inlineStr">
        <is>
          <t>Tunnel Controller Push Button Station, 12-Button: Start, Stop, Yellow/Pause, 2-Position Toggle, 8 Programmable Buttons to Select Wash Packages or Extra Services, Stainless Steel Enclosure</t>
        </is>
      </c>
      <c r="D44" s="2" t="n">
        <v>1</v>
      </c>
      <c r="E44" s="2" t="inlineStr">
        <is>
          <t>1,600.00</t>
        </is>
      </c>
      <c r="F44" s="2" t="inlineStr">
        <is>
          <t>1,600.00</t>
        </is>
      </c>
      <c r="G44" s="2" t="n">
        <v>4</v>
      </c>
      <c r="H44" s="2" t="inlineStr"/>
    </row>
    <row r="45">
      <c r="A45" s="2" t="n">
        <v>44</v>
      </c>
      <c r="B45" s="2" t="inlineStr">
        <is>
          <t>MCC-BCN3VFD-10-460</t>
        </is>
      </c>
      <c r="C45" s="2" t="inlineStr">
        <is>
          <t>Motor Control Center - Belt Conveyor, 3-Phase, 460 VAC 60 Hz 3Ø, 10 HP, VFD Controller</t>
        </is>
      </c>
      <c r="D45" s="2" t="n">
        <v>1</v>
      </c>
      <c r="E45" s="2" t="inlineStr">
        <is>
          <t>4,667.38</t>
        </is>
      </c>
      <c r="F45" s="2" t="inlineStr">
        <is>
          <t>4,667.38</t>
        </is>
      </c>
      <c r="G45" s="2" t="n">
        <v>4</v>
      </c>
      <c r="H45" s="2" t="inlineStr"/>
    </row>
    <row r="46">
      <c r="A46" s="2" t="n">
        <v>45</v>
      </c>
      <c r="B46" s="2" t="inlineStr">
        <is>
          <t>MCC-5-460-VFD</t>
        </is>
      </c>
      <c r="C46" s="2" t="inlineStr">
        <is>
          <t>Motor Control Center, Variable Frequency Drive, 5 HP or less, 3 Phase, 460 VAC,[Dual wrap mitter contour combo x 9, rockers x2, po1 x3], price per VFD</t>
        </is>
      </c>
      <c r="D46" s="2" t="n">
        <v>14</v>
      </c>
      <c r="E46" s="2" t="inlineStr">
        <is>
          <t>1,318.90</t>
        </is>
      </c>
      <c r="F46" s="2" t="inlineStr">
        <is>
          <t>18,464.60</t>
        </is>
      </c>
      <c r="G46" s="2" t="n">
        <v>4</v>
      </c>
      <c r="H46" s="2" t="inlineStr"/>
    </row>
    <row r="47">
      <c r="A47" s="2" t="n">
        <v>46</v>
      </c>
      <c r="B47" s="2" t="inlineStr">
        <is>
          <t>MCC-460</t>
        </is>
      </c>
      <c r="C47" s="2" t="inlineStr">
        <is>
          <t>Motor Control Center - 3 Phase, 60 Hz, 5 HP or larger, 460 VAC, 120 VAC Coil Voltage, [15HP x 8 AVW Blower Producers, 15HP x 2 High Pressure Pumps for Pumping Station, 15HP x1 single pumping station, 1x7.5hp prep guns] price per horsepower</t>
        </is>
      </c>
      <c r="D47" s="2" t="n">
        <v>172.5</v>
      </c>
      <c r="E47" s="2" t="inlineStr">
        <is>
          <t>76.50</t>
        </is>
      </c>
      <c r="F47" s="2" t="inlineStr">
        <is>
          <t>13,196.25</t>
        </is>
      </c>
      <c r="G47" s="2" t="n">
        <v>4</v>
      </c>
      <c r="H47" s="2" t="inlineStr"/>
    </row>
    <row r="48">
      <c r="A48" s="2" t="n">
        <v>47</v>
      </c>
      <c r="B48" s="2" t="inlineStr">
        <is>
          <t>SOB-RO-10GPM</t>
        </is>
      </c>
      <c r="C48" s="2" t="inlineStr">
        <is>
          <t>ERO 15000 GPD RO UNIT W/1HP REPRESS (40PSI) AND 4 CUBE B/W CARBON FILTER - **THREE PHASE** **460 VOLTS STANDARD**</t>
        </is>
      </c>
      <c r="D48" s="2" t="n">
        <v>1</v>
      </c>
      <c r="E48" s="2" t="inlineStr">
        <is>
          <t>33,150.00</t>
        </is>
      </c>
      <c r="F48" s="2" t="inlineStr">
        <is>
          <t>33,150.00</t>
        </is>
      </c>
      <c r="G48" s="2" t="n">
        <v>4</v>
      </c>
      <c r="H48" s="2" t="inlineStr"/>
    </row>
    <row r="49">
      <c r="A49" s="2" t="n">
        <v>48</v>
      </c>
      <c r="B49" s="2" t="inlineStr">
        <is>
          <t>SOB-RECLAIM-100GPM</t>
        </is>
      </c>
      <c r="C49" s="2" t="inlineStr">
        <is>
          <t>CYCLONIC RECLAIM SYSTEM, 100 GPM (ERS100) GEN 3 (SS FRAME)</t>
        </is>
      </c>
      <c r="D49" s="2" t="n">
        <v>1</v>
      </c>
      <c r="E49" s="2" t="inlineStr">
        <is>
          <t>32,580.00</t>
        </is>
      </c>
      <c r="F49" s="2" t="inlineStr">
        <is>
          <t>32,580.00</t>
        </is>
      </c>
      <c r="G49" s="2" t="n">
        <v>4</v>
      </c>
      <c r="H49" s="2" t="inlineStr"/>
    </row>
    <row r="50">
      <c r="A50" s="2" t="n">
        <v>49</v>
      </c>
      <c r="B50" s="2" t="inlineStr">
        <is>
          <t>VAC-25HP</t>
        </is>
      </c>
      <c r="C50" s="2" t="inlineStr">
        <is>
          <t>Vacuum System for 7-8 users. Eurovac III Includes centrifugal multi-stage, energy efficient blowers rated for 20,000 hours of continuous operation; manual ball valve for ensuring blower does not go into “surge”; cyclonic filter separator; after bag filters; 26 gal. plastic tote canister; silencer; throttling valve; 4 anti-vibration pads; rain cap. Specs for the 25 HP &amp; 34” Sep Detail Vacuum System: Separator Standard-- 6” Inlet M, 6” Outlet B; Airflow – 885 CFM at 88” WG (6.5”Hg). A 25 HP starter control with overload protection is required, but not included (see VAC-25HP-480 Starter)</t>
        </is>
      </c>
      <c r="D50" s="2" t="n">
        <v>2</v>
      </c>
      <c r="E50" s="2" t="inlineStr">
        <is>
          <t>17,103.00</t>
        </is>
      </c>
      <c r="F50" s="2" t="inlineStr">
        <is>
          <t>34,206.00</t>
        </is>
      </c>
      <c r="G50" s="2" t="n">
        <v>5</v>
      </c>
      <c r="H50" s="2" t="inlineStr"/>
    </row>
    <row r="51">
      <c r="A51" s="2" t="n">
        <v>50</v>
      </c>
      <c r="B51" s="2" t="inlineStr">
        <is>
          <t>VAC-25HP-480-VFD</t>
        </is>
      </c>
      <c r="C51" s="2" t="inlineStr">
        <is>
          <t>Eurovac III 25 HP 460 VAC VFD Control Panel, Pressure Transducer to Control Constant Pressure in Exhaust Duct, Includes Disconnect and Panel Protection, Fitting forTapping into Pressure Port, ND 15' Tubing</t>
        </is>
      </c>
      <c r="D51" s="2" t="n">
        <v>2</v>
      </c>
      <c r="E51" s="2" t="inlineStr">
        <is>
          <t>9,275.00</t>
        </is>
      </c>
      <c r="F51" s="2" t="inlineStr">
        <is>
          <t>18,550.00</t>
        </is>
      </c>
      <c r="G51" s="2" t="n">
        <v>5</v>
      </c>
      <c r="H51" s="2" t="inlineStr"/>
    </row>
    <row r="52">
      <c r="A52" s="2" t="n">
        <v>51</v>
      </c>
      <c r="B52" s="2" t="inlineStr">
        <is>
          <t>VA5129A-1</t>
        </is>
      </c>
      <c r="C52" s="2" t="inlineStr">
        <is>
          <t>Single Vacuum Canopy Arch, 5" Round Post, Shallow-curved Gusseted Arch with Tabs to Attach Canopy, Single Hose Connection at Arch End, 11-3/4" Base Plate, Polished SS, (No Separator, Vac Canister, Canopy, Tool Holder or Hose), Includes (1) FNPT Elbow</t>
        </is>
      </c>
      <c r="D52" s="2" t="n">
        <v>4</v>
      </c>
      <c r="E52" s="2" t="inlineStr">
        <is>
          <t>4,066.00</t>
        </is>
      </c>
      <c r="F52" s="2" t="inlineStr">
        <is>
          <t>16,264.00</t>
        </is>
      </c>
      <c r="G52" s="2" t="n">
        <v>5</v>
      </c>
      <c r="H52" s="2" t="inlineStr"/>
    </row>
    <row r="53">
      <c r="A53" s="2" t="n">
        <v>52</v>
      </c>
      <c r="B53" s="2" t="inlineStr">
        <is>
          <t>VA5129A-2</t>
        </is>
      </c>
      <c r="C53" s="2" t="inlineStr">
        <is>
          <t>Single Vacuum Canopy Arch, 5" Round Post, Shallow-curved Gusseted Arch with Tabs to Attach Canopy, Splitter with 2 Hose Connections at Arch End, 11-3/4" Base Plate, Polished SS, (No Separator, Vac Canister, Canopy, Tool Holder or Hose), Includes (1) Wye with 2-1/2" FNPT Connections</t>
        </is>
      </c>
      <c r="D53" s="2" t="n">
        <v>8</v>
      </c>
      <c r="E53" s="2" t="inlineStr">
        <is>
          <t>4,153.00</t>
        </is>
      </c>
      <c r="F53" s="2" t="inlineStr">
        <is>
          <t>33,224.00</t>
        </is>
      </c>
      <c r="G53" s="2" t="n">
        <v>5</v>
      </c>
      <c r="H53" s="2" t="inlineStr"/>
    </row>
    <row r="54">
      <c r="A54" s="2" t="n">
        <v>53</v>
      </c>
      <c r="B54" s="2" t="inlineStr">
        <is>
          <t>VAC-ALUM-10-WORKSTA...</t>
        </is>
      </c>
      <c r="C54" s="2" t="inlineStr">
        <is>
          <t>Central Vac Line Kit: Post/Arch Aluminum Detail Work Station, Above Ground (For 6-10 Bays): Aluminum tube, including compression couplings for 12' to 14' bays</t>
        </is>
      </c>
      <c r="D54" s="2" t="n">
        <v>10</v>
      </c>
      <c r="E54" s="2" t="inlineStr">
        <is>
          <t>1,371.00</t>
        </is>
      </c>
      <c r="F54" s="2" t="inlineStr">
        <is>
          <t>13,710.00</t>
        </is>
      </c>
      <c r="G54" s="2" t="n">
        <v>5</v>
      </c>
      <c r="H54" s="2" t="inlineStr"/>
    </row>
    <row r="55">
      <c r="A55" s="2" t="n">
        <v>54</v>
      </c>
      <c r="B55" s="2" t="inlineStr">
        <is>
          <t>VA5129AV</t>
        </is>
      </c>
      <c r="C55" s="2" t="inlineStr">
        <is>
          <t>Cover, for Base Plate on Vacuum Arch (5" Pipe), with Fasteners</t>
        </is>
      </c>
      <c r="D55" s="2" t="n">
        <v>12</v>
      </c>
      <c r="E55" s="2" t="inlineStr">
        <is>
          <t>474.00</t>
        </is>
      </c>
      <c r="F55" s="2" t="inlineStr">
        <is>
          <t>5,688.00</t>
        </is>
      </c>
      <c r="G55" s="2" t="n">
        <v>5</v>
      </c>
      <c r="H55" s="2" t="inlineStr"/>
    </row>
    <row r="56">
      <c r="A56" s="2" t="n">
        <v>55</v>
      </c>
      <c r="B56" s="2" t="inlineStr">
        <is>
          <t>VA3246S</t>
        </is>
      </c>
      <c r="C56" s="2" t="inlineStr">
        <is>
          <t>Separator, Baffle Type, Self-Serve Vacuum, for One Arch Connected to One Separator, for Central Vac (requires external vacuum source, no push button, coin acceptor, relay, or vac motor), SS</t>
        </is>
      </c>
      <c r="D56" s="2" t="n">
        <v>12</v>
      </c>
      <c r="E56" s="2" t="inlineStr">
        <is>
          <t>1,613.00</t>
        </is>
      </c>
      <c r="F56" s="2" t="inlineStr">
        <is>
          <t>19,356.00</t>
        </is>
      </c>
      <c r="G56" s="2" t="n">
        <v>6</v>
      </c>
      <c r="H56" s="2" t="inlineStr"/>
    </row>
    <row r="57">
      <c r="A57" s="2" t="n">
        <v>56</v>
      </c>
      <c r="B57" s="2" t="inlineStr">
        <is>
          <t>VAC-CREVICE-TOOL</t>
        </is>
      </c>
      <c r="C57" s="2" t="inlineStr">
        <is>
          <t>Crevice Tool, for 1-1/2" Vacuum Hose, each</t>
        </is>
      </c>
      <c r="D57" s="2" t="n">
        <v>24</v>
      </c>
      <c r="E57" s="2" t="inlineStr">
        <is>
          <t>7.80</t>
        </is>
      </c>
      <c r="F57" s="2" t="inlineStr">
        <is>
          <t>187.20</t>
        </is>
      </c>
      <c r="G57" s="2" t="n">
        <v>6</v>
      </c>
      <c r="H57" s="2" t="inlineStr"/>
    </row>
    <row r="58">
      <c r="A58" s="2" t="n">
        <v>57</v>
      </c>
      <c r="B58" s="2" t="inlineStr">
        <is>
          <t>VA3352WS</t>
        </is>
      </c>
      <c r="C58" s="2" t="inlineStr">
        <is>
          <t>Crevice Tool Holster, Black</t>
        </is>
      </c>
      <c r="D58" s="2" t="n">
        <v>24</v>
      </c>
      <c r="E58" s="2" t="inlineStr">
        <is>
          <t>114.00</t>
        </is>
      </c>
      <c r="F58" s="2" t="inlineStr">
        <is>
          <t>2,736.00</t>
        </is>
      </c>
      <c r="G58" s="2" t="n">
        <v>6</v>
      </c>
      <c r="H58" s="2" t="inlineStr"/>
    </row>
    <row r="59">
      <c r="A59" s="2" t="n">
        <v>58</v>
      </c>
      <c r="B59" s="2" t="inlineStr">
        <is>
          <t>VAC-HOSE-150</t>
        </is>
      </c>
      <c r="C59" s="2" t="inlineStr">
        <is>
          <t>1-1/2" Black Vacuum Hose, per foot</t>
        </is>
      </c>
      <c r="D59" s="2" t="n">
        <v>500</v>
      </c>
      <c r="E59" s="2" t="inlineStr">
        <is>
          <t>3.40</t>
        </is>
      </c>
      <c r="F59" s="2" t="inlineStr">
        <is>
          <t>1,700.00</t>
        </is>
      </c>
      <c r="G59" s="2" t="n">
        <v>6</v>
      </c>
      <c r="H59" s="2" t="inlineStr"/>
    </row>
    <row r="60">
      <c r="A60" s="2" t="n">
        <v>59</v>
      </c>
      <c r="B60" s="2" t="inlineStr">
        <is>
          <t>VAC-HOSE-2IN</t>
        </is>
      </c>
      <c r="C60" s="2" t="inlineStr">
        <is>
          <t>2" Black Vacuum Hose, price per foot</t>
        </is>
      </c>
      <c r="D60" s="2" t="n">
        <v>60</v>
      </c>
      <c r="E60" s="2" t="inlineStr">
        <is>
          <t>4.50</t>
        </is>
      </c>
      <c r="F60" s="2" t="inlineStr">
        <is>
          <t>270.00</t>
        </is>
      </c>
      <c r="G60" s="2" t="n">
        <v>6</v>
      </c>
      <c r="H6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5" customWidth="1" min="3" max="3"/>
    <col width="10" customWidth="1" min="4" max="4"/>
    <col width="10" customWidth="1" min="5" max="5"/>
    <col width="32" customWidth="1" min="6" max="6"/>
    <col width="45" customWidth="1" min="7" max="7"/>
    <col width="28" customWidth="1" min="8" max="8"/>
  </cols>
  <sheetData>
    <row r="1">
      <c r="A1" s="3" t="inlineStr">
        <is>
          <t>Order</t>
        </is>
      </c>
      <c r="B1" s="3" t="inlineStr">
        <is>
          <t>Item</t>
        </is>
      </c>
      <c r="C1" s="3" t="inlineStr">
        <is>
          <t>Description</t>
        </is>
      </c>
      <c r="D1" s="3" t="inlineStr">
        <is>
          <t>#</t>
        </is>
      </c>
      <c r="E1" s="3" t="inlineStr">
        <is>
          <t>Qty</t>
        </is>
      </c>
      <c r="F1" s="3" t="inlineStr">
        <is>
          <t>Issue Type</t>
        </is>
      </c>
      <c r="G1" s="3" t="inlineStr">
        <is>
          <t>Details</t>
        </is>
      </c>
      <c r="H1" s="3" t="inlineStr">
        <is>
          <t>Candidate Lookup</t>
        </is>
      </c>
    </row>
    <row r="2">
      <c r="A2" s="2" t="n">
        <v>2</v>
      </c>
      <c r="B2" s="2" t="inlineStr">
        <is>
          <t>RC3DG-UHMW</t>
        </is>
      </c>
      <c r="C2" s="2" t="inlineStr">
        <is>
          <t>Roller Correlator Guide Rail Set w/ UHMW Covers</t>
        </is>
      </c>
      <c r="D2" s="2" t="inlineStr"/>
      <c r="E2" s="2" t="n">
        <v>1</v>
      </c>
      <c r="F2" s="2" t="inlineStr">
        <is>
          <t>Unmatched</t>
        </is>
      </c>
      <c r="G2" s="2" t="inlineStr">
        <is>
          <t>No exact or explicitly approved alias match exists. No prefix or description guess was used.</t>
        </is>
      </c>
      <c r="H2" s="2" t="inlineStr">
        <is>
          <t>RC3DG-UHMW</t>
        </is>
      </c>
    </row>
    <row r="3">
      <c r="A3" s="2" t="n">
        <v>3</v>
      </c>
      <c r="B3" s="2" t="inlineStr">
        <is>
          <t>BCN3-CONVEYOR</t>
        </is>
      </c>
      <c r="C3" s="2" t="inlineStr">
        <is>
          <t>30" Dual Belt, includes Dual 10 Series 20 HP Drives, 70 Feet, Primered Steel Frame, Glide Plates, Polymer Belt, [Belt Surface], [Belt Color], [Pusher Color][Pusher Pattern], [Safety Stripe Option, Color]</t>
        </is>
      </c>
      <c r="D3" s="2" t="inlineStr"/>
      <c r="E3" s="2" t="n">
        <v>1</v>
      </c>
      <c r="F3" s="2" t="inlineStr">
        <is>
          <t>Unmatched</t>
        </is>
      </c>
      <c r="G3" s="2" t="inlineStr">
        <is>
          <t>No exact or explicitly approved alias match exists. No prefix or description guess was used.</t>
        </is>
      </c>
      <c r="H3" s="2" t="inlineStr">
        <is>
          <t>BCN3-CONVEYOR</t>
        </is>
      </c>
    </row>
    <row r="4">
      <c r="A4" s="2" t="n">
        <v>4</v>
      </c>
      <c r="B4" s="2" t="inlineStr">
        <is>
          <t>FGPIT-CLM-K</t>
        </is>
      </c>
      <c r="C4" s="2" t="inlineStr">
        <is>
          <t>Fiberglass Closed Grating, Molded, 4' x 12' Sheet- Black</t>
        </is>
      </c>
      <c r="D4" s="2" t="inlineStr"/>
      <c r="E4" s="2" t="n">
        <v>1</v>
      </c>
      <c r="F4" s="2" t="inlineStr">
        <is>
          <t>Unmatched</t>
        </is>
      </c>
      <c r="G4" s="2" t="inlineStr">
        <is>
          <t>No exact or explicitly approved alias match exists. No prefix or description guess was used.</t>
        </is>
      </c>
      <c r="H4" s="2" t="inlineStr">
        <is>
          <t>FGPIT-CLM-K</t>
        </is>
      </c>
    </row>
    <row r="5">
      <c r="A5" s="2" t="n">
        <v>5</v>
      </c>
      <c r="B5" s="2" t="inlineStr">
        <is>
          <t>FGPIT-MOLD-K-4X12</t>
        </is>
      </c>
      <c r="C5" s="2" t="inlineStr">
        <is>
          <t>Fiberglass Grating, Molded, 4' x 12' Sheet, Black</t>
        </is>
      </c>
      <c r="D5" s="2" t="inlineStr"/>
      <c r="E5" s="2" t="n">
        <v>3</v>
      </c>
      <c r="F5" s="2" t="inlineStr">
        <is>
          <t>Unmatched</t>
        </is>
      </c>
      <c r="G5" s="2" t="inlineStr">
        <is>
          <t>No exact or explicitly approved alias match exists. No prefix or description guess was used.</t>
        </is>
      </c>
      <c r="H5" s="2" t="inlineStr">
        <is>
          <t>FGPIT-MOLD-K-4X12</t>
        </is>
      </c>
    </row>
    <row r="6">
      <c r="A6" s="2" t="n">
        <v>9</v>
      </c>
      <c r="B6" s="2" t="inlineStr">
        <is>
          <t>OT2-AA0</t>
        </is>
      </c>
      <c r="C6" s="2" t="inlineStr">
        <is>
          <t>Arch (Empty), Octa² Design</t>
        </is>
      </c>
      <c r="D6" s="2" t="inlineStr"/>
      <c r="E6" s="2" t="n">
        <v>1</v>
      </c>
      <c r="F6" s="2" t="inlineStr">
        <is>
          <t>Unmatched</t>
        </is>
      </c>
      <c r="G6" s="2" t="inlineStr">
        <is>
          <t>No exact or explicitly approved alias match exists. No prefix or description guess was used.</t>
        </is>
      </c>
      <c r="H6" s="2" t="inlineStr">
        <is>
          <t>OT2-AA0</t>
        </is>
      </c>
    </row>
    <row r="7">
      <c r="A7" s="2" t="n">
        <v>11</v>
      </c>
      <c r="B7" s="2" t="inlineStr">
        <is>
          <t>APS2-0209-F-8QT</t>
        </is>
      </c>
      <c r="C7" s="2" t="inlineStr">
        <is>
          <t>Pump Panel (Air), Foaming, With FloJet Pump, Compact Panel w/8 Qt Bucket</t>
        </is>
      </c>
      <c r="D7" s="2" t="inlineStr"/>
      <c r="E7" s="2" t="n">
        <v>3</v>
      </c>
      <c r="F7" s="2" t="inlineStr">
        <is>
          <t>Unmatched</t>
        </is>
      </c>
      <c r="G7" s="2" t="inlineStr">
        <is>
          <t>No exact or explicitly approved alias match exists. No prefix or description guess was used.</t>
        </is>
      </c>
      <c r="H7" s="2" t="inlineStr">
        <is>
          <t>APS2-0209-F-8QT</t>
        </is>
      </c>
    </row>
    <row r="8">
      <c r="A8" s="2" t="n">
        <v>13</v>
      </c>
      <c r="B8" s="2" t="inlineStr">
        <is>
          <t>2WAMC2CB0405-EL</t>
        </is>
      </c>
      <c r="C8" s="2" t="inlineStr">
        <is>
          <t>Dual "Z"-Wrap/Full Mitter/Contour Combo, Submit Electric Drive, 8" Step-up Wrap Arms (Brushes Not Included)</t>
        </is>
      </c>
      <c r="D8" s="2" t="inlineStr"/>
      <c r="E8" s="2" t="n">
        <v>1</v>
      </c>
      <c r="F8" s="2" t="inlineStr">
        <is>
          <t>Unmatched</t>
        </is>
      </c>
      <c r="G8" s="2" t="inlineStr">
        <is>
          <t>No exact or explicitly approved alias match exists. No prefix or description guess was used.</t>
        </is>
      </c>
      <c r="H8" s="2" t="inlineStr">
        <is>
          <t>2WAMC2CB0405-EL</t>
        </is>
      </c>
    </row>
    <row r="9">
      <c r="A9" s="2" t="n">
        <v>14</v>
      </c>
      <c r="B9" s="2" t="inlineStr">
        <is>
          <t>WA1M-72-510-5220-CORE</t>
        </is>
      </c>
      <c r="C9" s="2" t="inlineStr">
        <is>
          <t>Core 51072-5220, Hugger, Core Only (WA1M-72-510-5220-CORE), 5"/10" Core Dia. x 72"H (52/20), for Wrap and Van High Side Washer, Aluminum, per core</t>
        </is>
      </c>
      <c r="D9" s="2" t="inlineStr"/>
      <c r="E9" s="2" t="n">
        <v>4</v>
      </c>
      <c r="F9" s="2" t="inlineStr">
        <is>
          <t>Unmatched</t>
        </is>
      </c>
      <c r="G9" s="2" t="inlineStr">
        <is>
          <t>No exact or explicitly approved alias match exists. No prefix or description guess was used.</t>
        </is>
      </c>
      <c r="H9" s="2" t="inlineStr">
        <is>
          <t>WA1M-72-510-5220-CORE</t>
        </is>
      </c>
    </row>
    <row r="10">
      <c r="A10" s="2" t="n">
        <v>15</v>
      </c>
      <c r="B10" s="2" t="inlineStr">
        <is>
          <t>WA1M-00-510-5220-SS-NG...</t>
        </is>
      </c>
      <c r="C10" s="2" t="inlineStr">
        <is>
          <t>Brush 51072-5220, Wrap Hugger, NeoGlide® Only (WA1M-00-510-5220-SS-NG), Upper Section-52"H, Straight-Cut, Lower Section-20"H, Straight-Cut, for 5"/10" Core Dia. x 72"H, Blue</t>
        </is>
      </c>
      <c r="D10" s="2" t="inlineStr"/>
      <c r="E10" s="2" t="n">
        <v>4</v>
      </c>
      <c r="F10" s="2" t="inlineStr">
        <is>
          <t>Truncated Item</t>
        </is>
      </c>
      <c r="G10" s="2" t="inlineStr">
        <is>
          <t>No Master List part number starts with the visible truncated prefix.</t>
        </is>
      </c>
      <c r="H10" s="2" t="inlineStr">
        <is>
          <t>WA1M-00-510-5220-SS-NG...</t>
        </is>
      </c>
    </row>
    <row r="11">
      <c r="A11" s="2" t="n">
        <v>16</v>
      </c>
      <c r="B11" s="2" t="inlineStr">
        <is>
          <t>MC1E-12W79L-S-CL-AVW...</t>
        </is>
      </c>
      <c r="C11" s="2" t="inlineStr">
        <is>
          <t>Mitter Curtain, 12"W x 79"Lg w/4" Cuts, Straight-Cut, Looped/Glued, Cloth - Black</t>
        </is>
      </c>
      <c r="D11" s="2" t="inlineStr"/>
      <c r="E11" s="2" t="n">
        <v>42</v>
      </c>
      <c r="F11" s="2" t="inlineStr">
        <is>
          <t>Truncated Item</t>
        </is>
      </c>
      <c r="G11" s="2" t="inlineStr">
        <is>
          <t>No Master List part number starts with the visible truncated prefix.</t>
        </is>
      </c>
      <c r="H11" s="2" t="inlineStr">
        <is>
          <t>MC1E-12W79L-S-CL-AVW...</t>
        </is>
      </c>
    </row>
    <row r="12">
      <c r="A12" s="2" t="n">
        <v>17</v>
      </c>
      <c r="B12" s="2" t="inlineStr">
        <is>
          <t>CB0405AMA-23-13-S-NG-BK</t>
        </is>
      </c>
      <c r="C12" s="2" t="inlineStr">
        <is>
          <t>Brush 1323, Lower Contour, NeoGlide® Only, AVW Design (drive from top), Electric Drive (CB0405AMA-23-13-S-NG), 13" Core Dia. x 23"H, Straight-Cut, per brush, Black</t>
        </is>
      </c>
      <c r="D12" s="2" t="inlineStr"/>
      <c r="E12" s="2" t="n">
        <v>2</v>
      </c>
      <c r="F12" s="2" t="inlineStr">
        <is>
          <t>Unmatched</t>
        </is>
      </c>
      <c r="G12" s="2" t="inlineStr">
        <is>
          <t>No exact or explicitly approved alias match exists. No prefix or description guess was used.</t>
        </is>
      </c>
      <c r="H12" s="2" t="inlineStr">
        <is>
          <t>CB0405AMA-23-13-S-NG-BK</t>
        </is>
      </c>
    </row>
    <row r="13">
      <c r="A13" s="2" t="n">
        <v>18</v>
      </c>
      <c r="B13" s="2" t="inlineStr">
        <is>
          <t>CB0405AMC-23-13</t>
        </is>
      </c>
      <c r="C13" s="2" t="inlineStr">
        <is>
          <t>Core 1323, Lower Contour, AVW, Core Only, 13" Core Dia. x 23"H, Aluminum, per core</t>
        </is>
      </c>
      <c r="D13" s="2" t="inlineStr"/>
      <c r="E13" s="2" t="n">
        <v>2</v>
      </c>
      <c r="F13" s="2" t="inlineStr">
        <is>
          <t>Unmatched</t>
        </is>
      </c>
      <c r="G13" s="2" t="inlineStr">
        <is>
          <t>No exact or explicitly approved alias match exists. No prefix or description guess was used.</t>
        </is>
      </c>
      <c r="H13" s="2" t="inlineStr">
        <is>
          <t>CB0405AMC-23-13</t>
        </is>
      </c>
    </row>
    <row r="14">
      <c r="A14" s="2" t="n">
        <v>19</v>
      </c>
      <c r="B14" s="2" t="inlineStr">
        <is>
          <t>CB0405AMC-50-13</t>
        </is>
      </c>
      <c r="C14" s="2" t="inlineStr">
        <is>
          <t>Core 1350, Upper Contour, AVW, Core Only, 13" Core Dia. x 50"H, Aluminum, per core</t>
        </is>
      </c>
      <c r="D14" s="2" t="inlineStr"/>
      <c r="E14" s="2" t="n">
        <v>2</v>
      </c>
      <c r="F14" s="2" t="inlineStr">
        <is>
          <t>Unmatched</t>
        </is>
      </c>
      <c r="G14" s="2" t="inlineStr">
        <is>
          <t>No exact or explicitly approved alias match exists. No prefix or description guess was used.</t>
        </is>
      </c>
      <c r="H14" s="2" t="inlineStr">
        <is>
          <t>CB0405AMC-50-13</t>
        </is>
      </c>
    </row>
    <row r="15">
      <c r="A15" s="2" t="n">
        <v>20</v>
      </c>
      <c r="B15" s="2" t="inlineStr">
        <is>
          <t>CB0405AMA-50-13-S-NG-BK</t>
        </is>
      </c>
      <c r="C15" s="2" t="inlineStr">
        <is>
          <t>Brush 1350, Upper Contour, NeoGlide® Only, AVW Design, 13" Core Dia. x 50"H, Straight-Cut, per brush, Black</t>
        </is>
      </c>
      <c r="D15" s="2" t="inlineStr"/>
      <c r="E15" s="2" t="n">
        <v>2</v>
      </c>
      <c r="F15" s="2" t="inlineStr">
        <is>
          <t>Unmatched</t>
        </is>
      </c>
      <c r="G15" s="2" t="inlineStr">
        <is>
          <t>No exact or explicitly approved alias match exists. No prefix or description guess was used.</t>
        </is>
      </c>
      <c r="H15" s="2" t="inlineStr">
        <is>
          <t>CB0405AMA-50-13-S-NG-BK</t>
        </is>
      </c>
    </row>
    <row r="16">
      <c r="A16" s="2" t="n">
        <v>22</v>
      </c>
      <c r="B16" s="2" t="inlineStr">
        <is>
          <t>RB1AMC-23-13</t>
        </is>
      </c>
      <c r="C16" s="2" t="inlineStr">
        <is>
          <t>Core 1323, Rocker, Core Only, 13" Core Dia. x 23"H, Aluminum, per core</t>
        </is>
      </c>
      <c r="D16" s="2" t="inlineStr"/>
      <c r="E16" s="2" t="n">
        <v>2</v>
      </c>
      <c r="F16" s="2" t="inlineStr">
        <is>
          <t>Unmatched</t>
        </is>
      </c>
      <c r="G16" s="2" t="inlineStr">
        <is>
          <t>No exact or explicitly approved alias match exists. No prefix or description guess was used.</t>
        </is>
      </c>
      <c r="H16" s="2" t="inlineStr">
        <is>
          <t>RB1AMC-23-13</t>
        </is>
      </c>
    </row>
    <row r="17">
      <c r="A17" s="2" t="n">
        <v>23</v>
      </c>
      <c r="B17" s="2" t="inlineStr">
        <is>
          <t>RB1AMA-23-13-S-CL-BL</t>
        </is>
      </c>
      <c r="C17" s="2" t="inlineStr">
        <is>
          <t>Brush 1323, Rocker, Cloth Only (RB1AMA-23-13-S-CL), 13" Core Dia. x 23"H, Straight-cut, per brush, Blue</t>
        </is>
      </c>
      <c r="D17" s="2" t="inlineStr"/>
      <c r="E17" s="2" t="n">
        <v>2</v>
      </c>
      <c r="F17" s="2" t="inlineStr">
        <is>
          <t>Unmatched</t>
        </is>
      </c>
      <c r="G17" s="2" t="inlineStr">
        <is>
          <t>No exact or explicitly approved alias match exists. No prefix or description guess was used.</t>
        </is>
      </c>
      <c r="H17" s="2" t="inlineStr">
        <is>
          <t>RB1AMA-23-13-S-CL-BL</t>
        </is>
      </c>
    </row>
    <row r="18">
      <c r="A18" s="2" t="n">
        <v>24</v>
      </c>
      <c r="B18" s="2" t="inlineStr">
        <is>
          <t>WA1-SK-2018</t>
        </is>
      </c>
      <c r="C18" s="2" t="inlineStr">
        <is>
          <t>Retract and Dual Air Assist Kit, includes (2) Air Cylinders and Wrap Air Assist Panel with (3) 3-way Valves and Regulators, Two for Assist and One for Retract, with Shuttle Valves for Each Wrap</t>
        </is>
      </c>
      <c r="D18" s="2" t="inlineStr"/>
      <c r="E18" s="2" t="n">
        <v>2</v>
      </c>
      <c r="F18" s="2" t="inlineStr">
        <is>
          <t>Unmatched</t>
        </is>
      </c>
      <c r="G18" s="2" t="inlineStr">
        <is>
          <t>No exact or explicitly approved alias match exists. No prefix or description guess was used.</t>
        </is>
      </c>
      <c r="H18" s="2" t="inlineStr">
        <is>
          <t>WA1-SK-2018</t>
        </is>
      </c>
    </row>
    <row r="19">
      <c r="A19" s="2" t="n">
        <v>25</v>
      </c>
      <c r="B19" s="2" t="inlineStr">
        <is>
          <t>WA2F-0318</t>
        </is>
      </c>
      <c r="C19" s="2" t="inlineStr">
        <is>
          <t>Wrap Stabilizer Kit, with Fasteners and U-bolt Rear Mount to Arm; with 4" x 5-3/4" Heavy Duty Plate and Two U-bolts. (1 set - 2 pcs.)</t>
        </is>
      </c>
      <c r="D19" s="2" t="inlineStr"/>
      <c r="E19" s="2" t="n">
        <v>2</v>
      </c>
      <c r="F19" s="2" t="inlineStr">
        <is>
          <t>Unmatched</t>
        </is>
      </c>
      <c r="G19" s="2" t="inlineStr">
        <is>
          <t>No exact or explicitly approved alias match exists. No prefix or description guess was used.</t>
        </is>
      </c>
      <c r="H19" s="2" t="inlineStr">
        <is>
          <t>WA2F-0318</t>
        </is>
      </c>
    </row>
    <row r="20">
      <c r="A20" s="2" t="n">
        <v>26</v>
      </c>
      <c r="B20" s="2" t="inlineStr">
        <is>
          <t>OT2-PO1-EL</t>
        </is>
      </c>
      <c r="C20" s="2" t="inlineStr">
        <is>
          <t>Pivoting Oscillating High Pressure Arch Octa²,Pivoting &amp; Oscillating Motion, Air Control Panel, SS Construction, Electric Drive (requires WA1P Air Control Panel to pivot, not included)</t>
        </is>
      </c>
      <c r="D20" s="2" t="inlineStr"/>
      <c r="E20" s="2" t="n">
        <v>1</v>
      </c>
      <c r="F20" s="2" t="inlineStr">
        <is>
          <t>Unmatched</t>
        </is>
      </c>
      <c r="G20" s="2" t="inlineStr">
        <is>
          <t>No exact or explicitly approved alias match exists. No prefix or description guess was used.</t>
        </is>
      </c>
      <c r="H20" s="2" t="inlineStr">
        <is>
          <t>OT2-PO1-EL</t>
        </is>
      </c>
    </row>
    <row r="21">
      <c r="A21" s="2" t="n">
        <v>27</v>
      </c>
      <c r="B21" s="2" t="inlineStr">
        <is>
          <t>WA1P-120V</t>
        </is>
      </c>
      <c r="C21" s="2" t="inlineStr">
        <is>
          <t>Panel (Air Control) - 120 VAC, with 4-way Directional Valve</t>
        </is>
      </c>
      <c r="D21" s="2" t="inlineStr"/>
      <c r="E21" s="2" t="n">
        <v>1</v>
      </c>
      <c r="F21" s="2" t="inlineStr">
        <is>
          <t>Unmatched</t>
        </is>
      </c>
      <c r="G21" s="2" t="inlineStr">
        <is>
          <t>No exact or explicitly approved alias match exists. No prefix or description guess was used.</t>
        </is>
      </c>
      <c r="H21" s="2" t="inlineStr">
        <is>
          <t>WA1P-120V</t>
        </is>
      </c>
    </row>
    <row r="22">
      <c r="A22" s="2" t="n">
        <v>31</v>
      </c>
      <c r="B22" s="2" t="inlineStr">
        <is>
          <t>OT2-AA1</t>
        </is>
      </c>
      <c r="C22" s="2" t="inlineStr">
        <is>
          <t>Arch (Applicator), Octa², Stainless Steel Arch &amp; Manifolds</t>
        </is>
      </c>
      <c r="D22" s="2" t="inlineStr"/>
      <c r="E22" s="2" t="n">
        <v>1</v>
      </c>
      <c r="F22" s="2" t="inlineStr">
        <is>
          <t>Unmatched</t>
        </is>
      </c>
      <c r="G22" s="2" t="inlineStr">
        <is>
          <t>No exact or explicitly approved alias match exists. No prefix or description guess was used.</t>
        </is>
      </c>
      <c r="H22" s="2" t="inlineStr">
        <is>
          <t>OT2-AA1</t>
        </is>
      </c>
    </row>
    <row r="23">
      <c r="A23" s="2" t="n">
        <v>32</v>
      </c>
      <c r="B23" s="2" t="inlineStr">
        <is>
          <t>AA5D-2</t>
        </is>
      </c>
      <c r="C23" s="2" t="inlineStr">
        <is>
          <t>Shower Rinse Top Manifold Assembly, 2 row, 90" LG., w/Mounting Arms and Brackets, SS</t>
        </is>
      </c>
      <c r="D23" s="2" t="inlineStr"/>
      <c r="E23" s="2" t="n">
        <v>2</v>
      </c>
      <c r="F23" s="2" t="inlineStr">
        <is>
          <t>Unmatched</t>
        </is>
      </c>
      <c r="G23" s="2" t="inlineStr">
        <is>
          <t>No exact or explicitly approved alias match exists. No prefix or description guess was used.</t>
        </is>
      </c>
      <c r="H23" s="2" t="inlineStr">
        <is>
          <t>AA5D-2</t>
        </is>
      </c>
    </row>
    <row r="24">
      <c r="A24" s="2" t="n">
        <v>34</v>
      </c>
      <c r="B24" s="2" t="inlineStr">
        <is>
          <t>BL1C10X12-PENTA</t>
        </is>
      </c>
      <c r="C24" s="2" t="inlineStr">
        <is>
          <t>Blower Frame (Mounting), 10 Ft. Long x 12 Ft. Wide, w/(3) Penta Crossbars 12 Ft. Long, (4) 84" Legs</t>
        </is>
      </c>
      <c r="D24" s="2" t="inlineStr"/>
      <c r="E24" s="2" t="n">
        <v>1</v>
      </c>
      <c r="F24" s="2" t="inlineStr">
        <is>
          <t>Unmatched</t>
        </is>
      </c>
      <c r="G24" s="2" t="inlineStr">
        <is>
          <t>No exact or explicitly approved alias match exists. No prefix or description guess was used.</t>
        </is>
      </c>
      <c r="H24" s="2" t="inlineStr">
        <is>
          <t>BL1C10X12-PENTA</t>
        </is>
      </c>
    </row>
    <row r="25">
      <c r="A25" s="2" t="n">
        <v>35</v>
      </c>
      <c r="B25" s="2" t="inlineStr">
        <is>
          <t>BL0522DFS-BL-15</t>
        </is>
      </c>
      <c r="C25" s="2" t="inlineStr">
        <is>
          <t>Blower Producer, 15 HP 3600 RPM, Reinforced Flanged Plastic Housing, with SS Rings for Inside of Housing, with two 8-1/2" Bolts, 4 Washers, 2 Lock Nuts, with 15 HP Intake Screen, Flanged Reinforced Straight Nozzle, Blue</t>
        </is>
      </c>
      <c r="D25" s="2" t="inlineStr"/>
      <c r="E25" s="2" t="n">
        <v>8</v>
      </c>
      <c r="F25" s="2" t="inlineStr">
        <is>
          <t>Unmatched</t>
        </is>
      </c>
      <c r="G25" s="2" t="inlineStr">
        <is>
          <t>No exact or explicitly approved alias match exists. No prefix or description guess was used.</t>
        </is>
      </c>
      <c r="H25" s="2" t="inlineStr">
        <is>
          <t>BL0522DFS-BL-15</t>
        </is>
      </c>
    </row>
    <row r="26">
      <c r="A26" s="2" t="n">
        <v>36</v>
      </c>
      <c r="B26" s="2" t="inlineStr">
        <is>
          <t>ACC-EMX-DTEK-BASE</t>
        </is>
      </c>
      <c r="C26" s="2" t="inlineStr">
        <is>
          <t>Socket Base, DIN Rail Mount, for D-Teak Loop Detector</t>
        </is>
      </c>
      <c r="D26" s="2" t="inlineStr"/>
      <c r="E26" s="2" t="n">
        <v>1</v>
      </c>
      <c r="F26" s="2" t="inlineStr">
        <is>
          <t>Unmatched</t>
        </is>
      </c>
      <c r="G26" s="2" t="inlineStr">
        <is>
          <t>No exact or explicitly approved alias match exists. No prefix or description guess was used.</t>
        </is>
      </c>
      <c r="H26" s="2" t="inlineStr">
        <is>
          <t>ACC-EMX-DTEK-BASE</t>
        </is>
      </c>
    </row>
    <row r="27">
      <c r="A27" s="2" t="n">
        <v>37</v>
      </c>
      <c r="B27" s="2" t="inlineStr">
        <is>
          <t>ACC-EMX-DTEK-UNIV</t>
        </is>
      </c>
      <c r="C27" s="2" t="inlineStr">
        <is>
          <t>D-Tek MVP Loop Detector, Universal Voltage 9-220 VAC/DC</t>
        </is>
      </c>
      <c r="D27" s="2" t="inlineStr"/>
      <c r="E27" s="2" t="n">
        <v>1</v>
      </c>
      <c r="F27" s="2" t="inlineStr">
        <is>
          <t>Unmatched</t>
        </is>
      </c>
      <c r="G27" s="2" t="inlineStr">
        <is>
          <t>No exact or explicitly approved alias match exists. No prefix or description guess was used.</t>
        </is>
      </c>
      <c r="H27" s="2" t="inlineStr">
        <is>
          <t>ACC-EMX-DTEK-UNIV</t>
        </is>
      </c>
    </row>
    <row r="28">
      <c r="A28" s="2" t="n">
        <v>38</v>
      </c>
      <c r="B28" s="2" t="inlineStr">
        <is>
          <t>ACC-EMX-LOOP</t>
        </is>
      </c>
      <c r="C28" s="2" t="inlineStr">
        <is>
          <t>Surface Mounted Loop Pad, 23-1/2" Square, Polypropylene, 50' Shielded Twisted Pair Lead-In</t>
        </is>
      </c>
      <c r="D28" s="2" t="inlineStr"/>
      <c r="E28" s="2" t="n">
        <v>1</v>
      </c>
      <c r="F28" s="2" t="inlineStr">
        <is>
          <t>Unmatched</t>
        </is>
      </c>
      <c r="G28" s="2" t="inlineStr">
        <is>
          <t>No exact or explicitly approved alias match exists. No prefix or description guess was used.</t>
        </is>
      </c>
      <c r="H28" s="2" t="inlineStr">
        <is>
          <t>ACC-EMX-LOOP</t>
        </is>
      </c>
    </row>
    <row r="29">
      <c r="A29" s="2" t="n">
        <v>39</v>
      </c>
      <c r="B29" s="2" t="inlineStr">
        <is>
          <t>FM1H</t>
        </is>
      </c>
      <c r="C29" s="2" t="inlineStr">
        <is>
          <t>Finishing Module Heater, Dual Top Direct-Fired Heated Dryers on Dual Penta Arch, SS</t>
        </is>
      </c>
      <c r="D29" s="2" t="inlineStr"/>
      <c r="E29" s="2" t="n">
        <v>1</v>
      </c>
      <c r="F29" s="2" t="inlineStr">
        <is>
          <t>Unmatched</t>
        </is>
      </c>
      <c r="G29" s="2" t="inlineStr">
        <is>
          <t>No exact or explicitly approved alias match exists. No prefix or description guess was used.</t>
        </is>
      </c>
      <c r="H29" s="2" t="inlineStr">
        <is>
          <t>FM1H</t>
        </is>
      </c>
    </row>
    <row r="30">
      <c r="A30" s="2" t="n">
        <v>40</v>
      </c>
      <c r="B30" s="2" t="inlineStr">
        <is>
          <t>TPA64i</t>
        </is>
      </c>
      <c r="C30" s="2" t="inlineStr">
        <is>
          <t>Guardian Wash Command™ Tunnel Controller: 64 Function, includes iPad HMI, Network Router for Remote Site Access</t>
        </is>
      </c>
      <c r="D30" s="2" t="inlineStr"/>
      <c r="E30" s="2" t="n">
        <v>1</v>
      </c>
      <c r="F30" s="2" t="inlineStr">
        <is>
          <t>Unmatched</t>
        </is>
      </c>
      <c r="G30" s="2" t="inlineStr">
        <is>
          <t>No exact or explicitly approved alias match exists. No prefix or description guess was used.</t>
        </is>
      </c>
      <c r="H30" s="2" t="inlineStr">
        <is>
          <t>TPA64i</t>
        </is>
      </c>
    </row>
    <row r="31">
      <c r="A31" s="2" t="n">
        <v>41</v>
      </c>
      <c r="B31" s="2" t="inlineStr">
        <is>
          <t>DISPENSEIT2-15F-F-75-48...</t>
        </is>
      </c>
      <c r="C31" s="2" t="inlineStr">
        <is>
          <t>dispenseIT GEN 2 15 Function Chemical Dispensing System, Floor (caster) Mount, 7.5 HP Pump, 480V 3Ø, 110V Control</t>
        </is>
      </c>
      <c r="D31" s="2" t="inlineStr"/>
      <c r="E31" s="2" t="n">
        <v>1</v>
      </c>
      <c r="F31" s="2" t="inlineStr">
        <is>
          <t>Truncated Item</t>
        </is>
      </c>
      <c r="G31" s="2" t="inlineStr">
        <is>
          <t>No Master List part number starts with the visible truncated prefix.</t>
        </is>
      </c>
      <c r="H31" s="2" t="inlineStr">
        <is>
          <t>DISPENSEIT2-15F-F-75-48...</t>
        </is>
      </c>
    </row>
    <row r="32">
      <c r="A32" s="2" t="n">
        <v>42</v>
      </c>
      <c r="B32" s="2" t="inlineStr">
        <is>
          <t>DISPENSEIT-15-INJ-KIT</t>
        </is>
      </c>
      <c r="C32" s="2" t="inlineStr">
        <is>
          <t>DispenseIT 15-pc. 311 Series Single Barb Quick Connect Injector Kit</t>
        </is>
      </c>
      <c r="D32" s="2" t="inlineStr"/>
      <c r="E32" s="2" t="n">
        <v>1</v>
      </c>
      <c r="F32" s="2" t="inlineStr">
        <is>
          <t>Unmatched</t>
        </is>
      </c>
      <c r="G32" s="2" t="inlineStr">
        <is>
          <t>No exact or explicitly approved alias match exists. No prefix or description guess was used.</t>
        </is>
      </c>
      <c r="H32" s="2" t="inlineStr">
        <is>
          <t>DISPENSEIT-15-INJ-KIT</t>
        </is>
      </c>
    </row>
    <row r="33">
      <c r="A33" s="2" t="n">
        <v>43</v>
      </c>
      <c r="B33" s="2" t="inlineStr">
        <is>
          <t>PBS-12</t>
        </is>
      </c>
      <c r="C33" s="2" t="inlineStr">
        <is>
          <t>Tunnel Controller Push Button Station, 12-Button: Start, Stop, Yellow/Pause, 2-Position Toggle, 8 Programmable Buttons to Select Wash Packages or Extra Services, Stainless Steel Enclosure</t>
        </is>
      </c>
      <c r="D33" s="2" t="inlineStr"/>
      <c r="E33" s="2" t="n">
        <v>1</v>
      </c>
      <c r="F33" s="2" t="inlineStr">
        <is>
          <t>Unmatched</t>
        </is>
      </c>
      <c r="G33" s="2" t="inlineStr">
        <is>
          <t>No exact or explicitly approved alias match exists. No prefix or description guess was used.</t>
        </is>
      </c>
      <c r="H33" s="2" t="inlineStr">
        <is>
          <t>PBS-12</t>
        </is>
      </c>
    </row>
    <row r="34">
      <c r="A34" s="2" t="n">
        <v>44</v>
      </c>
      <c r="B34" s="2" t="inlineStr">
        <is>
          <t>MCC-BCN3VFD-10-460</t>
        </is>
      </c>
      <c r="C34" s="2" t="inlineStr">
        <is>
          <t>Motor Control Center - Belt Conveyor, 3-Phase, 460 VAC 60 Hz 3Ø, 10 HP, VFD Controller</t>
        </is>
      </c>
      <c r="D34" s="2" t="inlineStr"/>
      <c r="E34" s="2" t="n">
        <v>1</v>
      </c>
      <c r="F34" s="2" t="inlineStr">
        <is>
          <t>Unmatched</t>
        </is>
      </c>
      <c r="G34" s="2" t="inlineStr">
        <is>
          <t>No exact or explicitly approved alias match exists. No prefix or description guess was used.</t>
        </is>
      </c>
      <c r="H34" s="2" t="inlineStr">
        <is>
          <t>MCC-BCN3VFD-10-460</t>
        </is>
      </c>
    </row>
    <row r="35">
      <c r="A35" s="2" t="n">
        <v>45</v>
      </c>
      <c r="B35" s="2" t="inlineStr">
        <is>
          <t>MCC-5-460-VFD</t>
        </is>
      </c>
      <c r="C35" s="2" t="inlineStr">
        <is>
          <t>Motor Control Center, Variable Frequency Drive, 5 HP or less, 3 Phase, 460 VAC,[Dual wrap mitter contour combo x 9, rockers x2, po1 x3], price per VFD</t>
        </is>
      </c>
      <c r="D35" s="2" t="inlineStr"/>
      <c r="E35" s="2" t="n">
        <v>14</v>
      </c>
      <c r="F35" s="2" t="inlineStr">
        <is>
          <t>Unmatched</t>
        </is>
      </c>
      <c r="G35" s="2" t="inlineStr">
        <is>
          <t>No exact or explicitly approved alias match exists. No prefix or description guess was used.</t>
        </is>
      </c>
      <c r="H35" s="2" t="inlineStr">
        <is>
          <t>MCC-5-460-VFD</t>
        </is>
      </c>
    </row>
    <row r="36">
      <c r="A36" s="2" t="n">
        <v>46</v>
      </c>
      <c r="B36" s="2" t="inlineStr">
        <is>
          <t>MCC-460</t>
        </is>
      </c>
      <c r="C36" s="2" t="inlineStr">
        <is>
          <t>Motor Control Center - 3 Phase, 60 Hz, 5 HP or larger, 460 VAC, 120 VAC Coil Voltage, [15HP x 8 AVW Blower Producers, 15HP x 2 High Pressure Pumps for Pumping Station, 15HP x1 single pumping station, 1x7.5hp prep guns] price per horsepower</t>
        </is>
      </c>
      <c r="D36" s="2" t="inlineStr"/>
      <c r="E36" s="2" t="n">
        <v>172.5</v>
      </c>
      <c r="F36" s="2" t="inlineStr">
        <is>
          <t>Non-Schedule Quantity / Review</t>
        </is>
      </c>
      <c r="G36" s="2" t="inlineStr">
        <is>
          <t>Quantity is not a whole equipment count. Treat as pricing/material quantity unless an engineer approves otherwise.</t>
        </is>
      </c>
      <c r="H36" s="2" t="inlineStr">
        <is>
          <t>MCC-460</t>
        </is>
      </c>
    </row>
    <row r="37">
      <c r="A37" s="2" t="n">
        <v>47</v>
      </c>
      <c r="B37" s="2" t="inlineStr">
        <is>
          <t>SOB-RO-10GPM</t>
        </is>
      </c>
      <c r="C37" s="2" t="inlineStr">
        <is>
          <t>ERO 15000 GPD RO UNIT W/1HP REPRESS (40PSI) AND 4 CUBE B/W CARBON FILTER - **THREE PHASE** **460 VOLTS STANDARD**</t>
        </is>
      </c>
      <c r="D37" s="2" t="inlineStr"/>
      <c r="E37" s="2" t="n">
        <v>1</v>
      </c>
      <c r="F37" s="2" t="inlineStr">
        <is>
          <t>Unmatched</t>
        </is>
      </c>
      <c r="G37" s="2" t="inlineStr">
        <is>
          <t>No exact or explicitly approved alias match exists. No prefix or description guess was used.</t>
        </is>
      </c>
      <c r="H37" s="2" t="inlineStr">
        <is>
          <t>SOB-RO-10GPM</t>
        </is>
      </c>
    </row>
    <row r="38">
      <c r="A38" s="2" t="n">
        <v>48</v>
      </c>
      <c r="B38" s="2" t="inlineStr">
        <is>
          <t>SOB-RECLAIM-100GPM</t>
        </is>
      </c>
      <c r="C38" s="2" t="inlineStr">
        <is>
          <t>CYCLONIC RECLAIM SYSTEM, 100 GPM (ERS100) GEN 3 (SS FRAME)</t>
        </is>
      </c>
      <c r="D38" s="2" t="inlineStr"/>
      <c r="E38" s="2" t="n">
        <v>1</v>
      </c>
      <c r="F38" s="2" t="inlineStr">
        <is>
          <t>Unmatched</t>
        </is>
      </c>
      <c r="G38" s="2" t="inlineStr">
        <is>
          <t>No exact or explicitly approved alias match exists. No prefix or description guess was used.</t>
        </is>
      </c>
      <c r="H38" s="2" t="inlineStr">
        <is>
          <t>SOB-RECLAIM-100GPM</t>
        </is>
      </c>
    </row>
    <row r="39">
      <c r="A39" s="2" t="n">
        <v>49</v>
      </c>
      <c r="B39" s="2" t="inlineStr">
        <is>
          <t>VAC-25HP</t>
        </is>
      </c>
      <c r="C39" s="2" t="inlineStr">
        <is>
          <t>Vacuum System for 7-8 users. Eurovac III Includes centrifugal multi-stage, energy efficient blowers rated for 20,000 hours of continuous operation; manual ball valve for ensuring blower does not go into “surge”; cyclonic filter separator; after bag filters; 26 gal. plastic tote canister; silencer; throttling valve; 4 anti-vibration pads; rain cap. Specs for the 25 HP &amp; 34” Sep Detail Vacuum System: Separator Standard-- 6” Inlet M, 6” Outlet B; Airflow – 885 CFM at 88” WG (6.5”Hg). A 25 HP starter control with overload protection is required, but not included (see VAC-25HP-480 Starter)</t>
        </is>
      </c>
      <c r="D39" s="2" t="inlineStr"/>
      <c r="E39" s="2" t="n">
        <v>2</v>
      </c>
      <c r="F39" s="2" t="inlineStr">
        <is>
          <t>Unmatched</t>
        </is>
      </c>
      <c r="G39" s="2" t="inlineStr">
        <is>
          <t>No exact or explicitly approved alias match exists. No prefix or description guess was used.</t>
        </is>
      </c>
      <c r="H39" s="2" t="inlineStr">
        <is>
          <t>VAC-25HP</t>
        </is>
      </c>
    </row>
    <row r="40">
      <c r="A40" s="2" t="n">
        <v>50</v>
      </c>
      <c r="B40" s="2" t="inlineStr">
        <is>
          <t>VAC-25HP-480-VFD</t>
        </is>
      </c>
      <c r="C40" s="2" t="inlineStr">
        <is>
          <t>Eurovac III 25 HP 460 VAC VFD Control Panel, Pressure Transducer to Control Constant Pressure in Exhaust Duct, Includes Disconnect and Panel Protection, Fitting forTapping into Pressure Port, ND 15' Tubing</t>
        </is>
      </c>
      <c r="D40" s="2" t="inlineStr"/>
      <c r="E40" s="2" t="n">
        <v>2</v>
      </c>
      <c r="F40" s="2" t="inlineStr">
        <is>
          <t>Unmatched</t>
        </is>
      </c>
      <c r="G40" s="2" t="inlineStr">
        <is>
          <t>No exact or explicitly approved alias match exists. No prefix or description guess was used.</t>
        </is>
      </c>
      <c r="H40" s="2" t="inlineStr">
        <is>
          <t>VAC-25HP-480-VFD</t>
        </is>
      </c>
    </row>
    <row r="41">
      <c r="A41" s="2" t="n">
        <v>52</v>
      </c>
      <c r="B41" s="2" t="inlineStr">
        <is>
          <t>VA5129A-2</t>
        </is>
      </c>
      <c r="C41" s="2" t="inlineStr">
        <is>
          <t>Single Vacuum Canopy Arch, 5" Round Post, Shallow-curved Gusseted Arch with Tabs to Attach Canopy, Splitter with 2 Hose Connections at Arch End, 11-3/4" Base Plate, Polished SS, (No Separator, Vac Canister, Canopy, Tool Holder or Hose), Includes (1) Wye with 2-1/2" FNPT Connections</t>
        </is>
      </c>
      <c r="D41" s="2" t="inlineStr"/>
      <c r="E41" s="2" t="n">
        <v>8</v>
      </c>
      <c r="F41" s="2" t="inlineStr">
        <is>
          <t>Unmatched</t>
        </is>
      </c>
      <c r="G41" s="2" t="inlineStr">
        <is>
          <t>No exact or explicitly approved alias match exists. No prefix or description guess was used.</t>
        </is>
      </c>
      <c r="H41" s="2" t="inlineStr">
        <is>
          <t>VA5129A-2</t>
        </is>
      </c>
    </row>
    <row r="42">
      <c r="A42" s="2" t="n">
        <v>53</v>
      </c>
      <c r="B42" s="2" t="inlineStr">
        <is>
          <t>VAC-ALUM-10-WORKSTA...</t>
        </is>
      </c>
      <c r="C42" s="2" t="inlineStr">
        <is>
          <t>Central Vac Line Kit: Post/Arch Aluminum Detail Work Station, Above Ground (For 6-10 Bays): Aluminum tube, including compression couplings for 12' to 14' bays</t>
        </is>
      </c>
      <c r="D42" s="2" t="inlineStr"/>
      <c r="E42" s="2" t="n">
        <v>10</v>
      </c>
      <c r="F42" s="2" t="inlineStr">
        <is>
          <t>Truncated Item</t>
        </is>
      </c>
      <c r="G42" s="2" t="inlineStr">
        <is>
          <t>No Master List part number starts with the visible truncated prefix.</t>
        </is>
      </c>
      <c r="H42" s="2" t="inlineStr">
        <is>
          <t>VAC-ALUM-10-WORKSTA...</t>
        </is>
      </c>
    </row>
    <row r="43">
      <c r="A43" s="2" t="n">
        <v>54</v>
      </c>
      <c r="B43" s="2" t="inlineStr">
        <is>
          <t>VA5129AV</t>
        </is>
      </c>
      <c r="C43" s="2" t="inlineStr">
        <is>
          <t>Cover, for Base Plate on Vacuum Arch (5" Pipe), with Fasteners</t>
        </is>
      </c>
      <c r="D43" s="2" t="inlineStr"/>
      <c r="E43" s="2" t="n">
        <v>12</v>
      </c>
      <c r="F43" s="2" t="inlineStr">
        <is>
          <t>Unmatched</t>
        </is>
      </c>
      <c r="G43" s="2" t="inlineStr">
        <is>
          <t>No exact or explicitly approved alias match exists. No prefix or description guess was used.</t>
        </is>
      </c>
      <c r="H43" s="2" t="inlineStr">
        <is>
          <t>VA5129AV</t>
        </is>
      </c>
    </row>
    <row r="44">
      <c r="A44" s="2" t="n">
        <v>56</v>
      </c>
      <c r="B44" s="2" t="inlineStr">
        <is>
          <t>VAC-CREVICE-TOOL</t>
        </is>
      </c>
      <c r="C44" s="2" t="inlineStr">
        <is>
          <t>Crevice Tool, for 1-1/2" Vacuum Hose, each</t>
        </is>
      </c>
      <c r="D44" s="2" t="inlineStr"/>
      <c r="E44" s="2" t="n">
        <v>24</v>
      </c>
      <c r="F44" s="2" t="inlineStr">
        <is>
          <t>Unmatched</t>
        </is>
      </c>
      <c r="G44" s="2" t="inlineStr">
        <is>
          <t>No exact or explicitly approved alias match exists. No prefix or description guess was used.</t>
        </is>
      </c>
      <c r="H44" s="2" t="inlineStr">
        <is>
          <t>VAC-CREVICE-TOOL</t>
        </is>
      </c>
    </row>
    <row r="45">
      <c r="A45" s="2" t="n">
        <v>57</v>
      </c>
      <c r="B45" s="2" t="inlineStr">
        <is>
          <t>VA3352WS</t>
        </is>
      </c>
      <c r="C45" s="2" t="inlineStr">
        <is>
          <t>Crevice Tool Holster, Black</t>
        </is>
      </c>
      <c r="D45" s="2" t="inlineStr"/>
      <c r="E45" s="2" t="n">
        <v>24</v>
      </c>
      <c r="F45" s="2" t="inlineStr">
        <is>
          <t>Unmatched</t>
        </is>
      </c>
      <c r="G45" s="2" t="inlineStr">
        <is>
          <t>No exact or explicitly approved alias match exists. No prefix or description guess was used.</t>
        </is>
      </c>
      <c r="H45" s="2" t="inlineStr">
        <is>
          <t>VA3352WS</t>
        </is>
      </c>
    </row>
    <row r="46">
      <c r="A46" s="2" t="n">
        <v>58</v>
      </c>
      <c r="B46" s="2" t="inlineStr">
        <is>
          <t>VAC-HOSE-150</t>
        </is>
      </c>
      <c r="C46" s="2" t="inlineStr">
        <is>
          <t>1-1/2" Black Vacuum Hose, per foot</t>
        </is>
      </c>
      <c r="D46" s="2" t="inlineStr"/>
      <c r="E46" s="2" t="n">
        <v>500</v>
      </c>
      <c r="F46" s="2" t="inlineStr">
        <is>
          <t>Unmatched</t>
        </is>
      </c>
      <c r="G46" s="2" t="inlineStr">
        <is>
          <t>No exact or explicitly approved alias match exists. No prefix or description guess was used.</t>
        </is>
      </c>
      <c r="H46" s="2" t="inlineStr">
        <is>
          <t>VAC-HOSE-150</t>
        </is>
      </c>
    </row>
    <row r="47">
      <c r="A47" s="2" t="n">
        <v>59</v>
      </c>
      <c r="B47" s="2" t="inlineStr">
        <is>
          <t>VAC-HOSE-2IN</t>
        </is>
      </c>
      <c r="C47" s="2" t="inlineStr">
        <is>
          <t>2" Black Vacuum Hose, price per foot</t>
        </is>
      </c>
      <c r="D47" s="2" t="inlineStr"/>
      <c r="E47" s="2" t="n">
        <v>60</v>
      </c>
      <c r="F47" s="2" t="inlineStr">
        <is>
          <t>Unmatched</t>
        </is>
      </c>
      <c r="G47" s="2" t="inlineStr">
        <is>
          <t>No exact or explicitly approved alias match exists. No prefix or description guess was used.</t>
        </is>
      </c>
      <c r="H47" s="2" t="inlineStr">
        <is>
          <t>VAC-HOSE-2IN</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473647481E5D4780D15AE0C15F758E" ma:contentTypeVersion="12" ma:contentTypeDescription="Create a new document." ma:contentTypeScope="" ma:versionID="46055464ada688ba9c753b19f876f1be">
  <xsd:schema xmlns:xsd="http://www.w3.org/2001/XMLSchema" xmlns:xs="http://www.w3.org/2001/XMLSchema" xmlns:p="http://schemas.microsoft.com/office/2006/metadata/properties" xmlns:ns2="02ba9a68-6cdd-4052-97a2-8f653467b62d" xmlns:ns3="b9dbac60-0bb9-462b-b58a-36cd3efb00e6" targetNamespace="http://schemas.microsoft.com/office/2006/metadata/properties" ma:root="true" ma:fieldsID="ae813669b71a554d2d9d7b5e611e8443" ns2:_="" ns3:_="">
    <xsd:import namespace="02ba9a68-6cdd-4052-97a2-8f653467b62d"/>
    <xsd:import namespace="b9dbac60-0bb9-462b-b58a-36cd3efb00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_Flow_SignoffStatu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a9a68-6cdd-4052-97a2-8f653467b6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Flow_SignoffStatus" ma:index="15" nillable="true" ma:displayName="Sign-off status" ma:internalName="_x0024_Resources_x003a_core_x002c_Signoff_Status">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0112bb-e0b1-4e84-b1ab-ef274314e70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9dbac60-0bb9-462b-b58a-36cd3efb00e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abbe9a8-e02a-4efd-9911-6a780de3ffc2}" ma:internalName="TaxCatchAll" ma:showField="CatchAllData" ma:web="b9dbac60-0bb9-462b-b58a-36cd3efb00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9dbac60-0bb9-462b-b58a-36cd3efb00e6" xsi:nil="true"/>
    <_Flow_SignoffStatus xmlns="02ba9a68-6cdd-4052-97a2-8f653467b62d" xsi:nil="true"/>
    <lcf76f155ced4ddcb4097134ff3c332f xmlns="02ba9a68-6cdd-4052-97a2-8f653467b6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0D5A29-9E3D-4D4E-8AE6-F2BC1E649979}"/>
</file>

<file path=customXml/itemProps2.xml><?xml version="1.0" encoding="utf-8"?>
<ds:datastoreItem xmlns:ds="http://schemas.openxmlformats.org/officeDocument/2006/customXml" ds:itemID="{CD746583-26F6-4E17-8E25-93FB2C329FBE}"/>
</file>

<file path=customXml/itemProps3.xml><?xml version="1.0" encoding="utf-8"?>
<ds:datastoreItem xmlns:ds="http://schemas.openxmlformats.org/officeDocument/2006/customXml" ds:itemID="{4B331CA3-FCEC-4F49-99CC-D8637A0E4CC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2026-08-06T17:51:19Z</dcterms:created>
  <dcterms:modified xsi:type="dcterms:W3CDTF">2026-08-06T17:51:19Z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0x010100FB473647481E5D4780D15AE0C15F758E</vt:lpwstr>
  </property>
</Properties>
</file>